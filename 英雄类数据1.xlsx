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80" firstSheet="2" activeTab="10"/>
  </bookViews>
  <sheets>
    <sheet name="星级要求" sheetId="2" r:id="rId1"/>
    <sheet name="英雄升级要求" sheetId="3" r:id="rId2"/>
    <sheet name="星级加成数值" sheetId="4" r:id="rId3"/>
    <sheet name="主角数值" sheetId="5" r:id="rId4"/>
    <sheet name="英雄数值" sheetId="6" r:id="rId5"/>
    <sheet name="英雄技能数值及描述" sheetId="7" r:id="rId6"/>
    <sheet name="英雄技能数值及描述（副本）" sheetId="8" r:id="rId7"/>
    <sheet name="英雄图鉴" sheetId="9" r:id="rId8"/>
    <sheet name="标准人" sheetId="10" r:id="rId9"/>
    <sheet name="职业测评" sheetId="11" r:id="rId10"/>
    <sheet name="伤害测试" sheetId="12" r:id="rId11"/>
  </sheets>
  <externalReferences>
    <externalReference r:id="rId1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<sst xmlns="http://schemas.openxmlformats.org/spreadsheetml/2006/main" count="1693" uniqueCount="288">
  <si>
    <t>星星</t>
  </si>
  <si>
    <t>0级解锁</t>
  </si>
  <si>
    <t>第 1 层</t>
  </si>
  <si>
    <t>第 2 层</t>
  </si>
  <si>
    <t>第 3 层</t>
  </si>
  <si>
    <t>第 4 层</t>
  </si>
  <si>
    <t>第 5 层</t>
  </si>
  <si>
    <t>第 6 层</t>
  </si>
  <si>
    <t>全部的</t>
  </si>
  <si>
    <t>10*</t>
  </si>
  <si>
    <t>⭐️</t>
  </si>
  <si>
    <t>⭐️⭐️</t>
  </si>
  <si>
    <t>-</t>
  </si>
  <si>
    <t>⭐️⭐️⭐️</t>
  </si>
  <si>
    <t>⭐️⭐️⭐️⭐️</t>
  </si>
  <si>
    <t>等级</t>
  </si>
  <si>
    <t>英雄经验值</t>
  </si>
  <si>
    <t>需要城镇中心</t>
  </si>
  <si>
    <t>部队容量</t>
  </si>
  <si>
    <t>伴游</t>
  </si>
  <si>
    <t>SSR</t>
  </si>
  <si>
    <t>SR</t>
  </si>
  <si>
    <t>R</t>
  </si>
  <si>
    <t>（满级*2-满级）/30</t>
  </si>
  <si>
    <t>（满级*1.7-满级）/30</t>
  </si>
  <si>
    <t>（满级*1.5-满级）/30</t>
  </si>
  <si>
    <t>HP</t>
  </si>
  <si>
    <t>ATK</t>
  </si>
  <si>
    <t>CRIT%</t>
  </si>
  <si>
    <t>CRIT_DMG</t>
  </si>
  <si>
    <t>SPD</t>
  </si>
  <si>
    <t>主角DEF</t>
  </si>
  <si>
    <t>丧尸DEF</t>
  </si>
  <si>
    <t>DPS</t>
  </si>
  <si>
    <t>k常数</t>
  </si>
  <si>
    <t>英雄ID</t>
  </si>
  <si>
    <t>英雄名称</t>
  </si>
  <si>
    <t>品阶</t>
  </si>
  <si>
    <t>职业</t>
  </si>
  <si>
    <t>Level</t>
  </si>
  <si>
    <t>DEF</t>
  </si>
  <si>
    <t>power</t>
  </si>
  <si>
    <t>ID</t>
  </si>
  <si>
    <t>Name</t>
  </si>
  <si>
    <t>Rank</t>
  </si>
  <si>
    <t>Vocation</t>
  </si>
  <si>
    <t>Atk</t>
  </si>
  <si>
    <t>Def</t>
  </si>
  <si>
    <t>Hp</t>
  </si>
  <si>
    <t>Crit</t>
  </si>
  <si>
    <t>CritDamage</t>
  </si>
  <si>
    <t>Speed</t>
  </si>
  <si>
    <t>Power</t>
  </si>
  <si>
    <t>Key</t>
  </si>
  <si>
    <t>String</t>
  </si>
  <si>
    <t>Int</t>
  </si>
  <si>
    <t>Float</t>
  </si>
  <si>
    <t>Isabella Frost</t>
  </si>
  <si>
    <t>SNIP</t>
  </si>
  <si>
    <t>Anvil</t>
  </si>
  <si>
    <t>TANK</t>
  </si>
  <si>
    <t>Lena Volt</t>
  </si>
  <si>
    <t>Marcus Reed</t>
  </si>
  <si>
    <t>Old Jack</t>
  </si>
  <si>
    <t>名称</t>
  </si>
  <si>
    <t>技能名称</t>
  </si>
  <si>
    <t>技能名称翻译</t>
  </si>
  <si>
    <t>等级要求</t>
  </si>
  <si>
    <t>技能描述</t>
  </si>
  <si>
    <t>技能描述翻译</t>
  </si>
  <si>
    <t>特效名称</t>
  </si>
  <si>
    <t>技能CD</t>
  </si>
  <si>
    <t>技能类型</t>
  </si>
  <si>
    <t>Level1</t>
  </si>
  <si>
    <t>Level2</t>
  </si>
  <si>
    <t>Level3</t>
  </si>
  <si>
    <t>Level4</t>
  </si>
  <si>
    <t>Level5</t>
  </si>
  <si>
    <t>BUFF类技能参数</t>
  </si>
  <si>
    <t>控制类技能参数</t>
  </si>
  <si>
    <t>特殊参数</t>
  </si>
  <si>
    <t>代号</t>
  </si>
  <si>
    <t>特效列表</t>
  </si>
  <si>
    <t>永夜终焉</t>
  </si>
  <si>
    <t xml:space="preserve">Eternal Nightfall  </t>
  </si>
  <si>
    <r>
      <rPr>
        <sz val="9.75"/>
        <color rgb="FF000000"/>
        <rFont val="Calibri"/>
        <charset val="134"/>
      </rPr>
      <t>锁定全场生命值最低的3个敌人，依次发射贯穿冰弹，造成敌方</t>
    </r>
    <r>
      <rPr>
        <sz val="9.75"/>
        <color rgb="FFF54A45"/>
        <rFont val="Calibri"/>
        <charset val="134"/>
      </rPr>
      <t>生命上限$的真实伤害</t>
    </r>
    <r>
      <rPr>
        <sz val="9.75"/>
        <color rgb="FF000000"/>
        <rFont val="Calibri"/>
        <charset val="134"/>
      </rPr>
      <t>（无视防御）并有70%概率冻结目标2秒。</t>
    </r>
  </si>
  <si>
    <t>Locks on to the 3 enemies with the lowest HP, firing piercing ice bullets in sequence, dealing $% of max HP as true damage (ignores defense) with a 70% chance to freeze targets for 2 seconds.</t>
  </si>
  <si>
    <t>PE_MagicFieldBlue (UnityEngine.GameObject)</t>
  </si>
  <si>
    <t>1,2</t>
  </si>
  <si>
    <t>[0.7,2]</t>
  </si>
  <si>
    <t>伤害类技能</t>
  </si>
  <si>
    <t>眩晕</t>
  </si>
  <si>
    <t>寒冰血脉</t>
  </si>
  <si>
    <t xml:space="preserve">Frostblood Lineage  </t>
  </si>
  <si>
    <r>
      <rPr>
        <sz val="9.75"/>
        <color rgb="FF000000"/>
        <rFont val="Calibri"/>
        <charset val="134"/>
      </rPr>
      <t>普通攻击有20%概率减速敌人5秒，并对已被冻结的敌人造成</t>
    </r>
    <r>
      <rPr>
        <sz val="9.75"/>
        <color rgb="FFF54A45"/>
        <rFont val="Calibri"/>
        <charset val="134"/>
      </rPr>
      <t>额外$伤害</t>
    </r>
    <r>
      <rPr>
        <sz val="9.75"/>
        <color rgb="FF000000"/>
        <rFont val="Calibri"/>
        <charset val="134"/>
      </rPr>
      <t>。</t>
    </r>
  </si>
  <si>
    <t>Basic attacks have a 20% chance to slow enemies for 5 seconds and deal an additional $ damage to frozen enemies.</t>
  </si>
  <si>
    <t>[0.2,5]</t>
  </si>
  <si>
    <t>控制类技能</t>
  </si>
  <si>
    <t>冰冻</t>
  </si>
  <si>
    <t>集团继承者</t>
  </si>
  <si>
    <t xml:space="preserve">Corporate Heir  </t>
  </si>
  <si>
    <r>
      <rPr>
        <sz val="9.75"/>
        <color rgb="FF000000"/>
        <rFont val="Calibri"/>
        <charset val="134"/>
      </rPr>
      <t>在基地中时，所有资源</t>
    </r>
    <r>
      <rPr>
        <sz val="9.75"/>
        <color rgb="FFF54A45"/>
        <rFont val="Calibri"/>
        <charset val="134"/>
      </rPr>
      <t>产量提升$</t>
    </r>
    <r>
      <rPr>
        <sz val="9.75"/>
        <color rgb="FF000000"/>
        <rFont val="Calibri"/>
        <charset val="134"/>
      </rPr>
      <t>。</t>
    </r>
  </si>
  <si>
    <t>While in the base, all resource production increases by $%.</t>
  </si>
  <si>
    <t>BUFF类技能</t>
  </si>
  <si>
    <t>嘲讽</t>
  </si>
  <si>
    <t>PE_MagicEnchantBlue (UnityEngine.GameObject)</t>
  </si>
  <si>
    <t>毁灭重铸</t>
  </si>
  <si>
    <t xml:space="preserve">Ruinous Rebirth  </t>
  </si>
  <si>
    <r>
      <rPr>
        <sz val="9.75"/>
        <color rgb="FF000000"/>
        <rFont val="Calibri"/>
        <charset val="134"/>
      </rPr>
      <t>牺牲当前30%生命值，对周围所有敌人造成基于自身已</t>
    </r>
    <r>
      <rPr>
        <sz val="9.75"/>
        <color rgb="FFF54A45"/>
        <rFont val="Calibri"/>
        <charset val="134"/>
      </rPr>
      <t>损失生命值的$的伤害</t>
    </r>
    <r>
      <rPr>
        <sz val="9.75"/>
        <color rgb="FF000000"/>
        <rFont val="Calibri"/>
        <charset val="134"/>
      </rPr>
      <t>，并强制嘲讽所有敌人5秒</t>
    </r>
  </si>
  <si>
    <t>Sacrifices 30% of current HP to deal $% damage to all nearby enemies based on lost HP and force taunt all enemies for 5 seconds.</t>
  </si>
  <si>
    <t>[1,5]</t>
  </si>
  <si>
    <t>其他类技能</t>
  </si>
  <si>
    <t>麻痹</t>
  </si>
  <si>
    <t>纳米吞噬</t>
  </si>
  <si>
    <t xml:space="preserve">Nanophage  </t>
  </si>
  <si>
    <r>
      <rPr>
        <sz val="9.75"/>
        <color rgb="FF000000"/>
        <rFont val="Calibri"/>
        <charset val="134"/>
      </rPr>
      <t>每次受到伤害，都会</t>
    </r>
    <r>
      <rPr>
        <sz val="9.75"/>
        <color rgb="FFF54A45"/>
        <rFont val="Calibri"/>
        <charset val="134"/>
      </rPr>
      <t>永久增加$最大生命值</t>
    </r>
    <r>
      <rPr>
        <sz val="9.75"/>
        <color rgb="FF000000"/>
        <rFont val="Calibri"/>
        <charset val="134"/>
      </rPr>
      <t>（有上限50%）。击败敌人时，回复自身最大生命值20%的血量</t>
    </r>
  </si>
  <si>
    <t>Each time damage is taken, permanently increases max HP by $% (capped at 50%). Defeating enemies restores 20% of max HP.</t>
  </si>
  <si>
    <t>3,3</t>
  </si>
  <si>
    <t>[0.2]</t>
  </si>
  <si>
    <t>护盾</t>
  </si>
  <si>
    <t>不屈意志</t>
  </si>
  <si>
    <t xml:space="preserve">Indomitable Will  </t>
  </si>
  <si>
    <r>
      <rPr>
        <sz val="9.75"/>
        <color rgb="FF000000"/>
        <rFont val="Calibri"/>
        <charset val="134"/>
      </rPr>
      <t>首次阵亡时，会立即复活并恢复40%最大生命值，并在接下来10秒内</t>
    </r>
    <r>
      <rPr>
        <sz val="9.75"/>
        <color rgb="FFF54A45"/>
        <rFont val="Calibri"/>
        <charset val="134"/>
      </rPr>
      <t>攻击力提升$</t>
    </r>
    <r>
      <rPr>
        <sz val="9.75"/>
        <color rgb="FF000000"/>
        <rFont val="Calibri"/>
        <charset val="134"/>
      </rPr>
      <t>。</t>
    </r>
  </si>
  <si>
    <t>On first death, instantly revives with 40% max HP and increases attack by $% for 10 seconds.</t>
  </si>
  <si>
    <t>PE_MagicCircleBlue (UnityEngine.GameObject)</t>
  </si>
  <si>
    <t>[0.4]</t>
  </si>
  <si>
    <t>超载穿透弹</t>
  </si>
  <si>
    <t xml:space="preserve">Overloaded Penetrator  </t>
  </si>
  <si>
    <r>
      <rPr>
        <sz val="9.75"/>
        <color rgb="FF000000"/>
        <rFont val="Calibri"/>
        <charset val="134"/>
      </rPr>
      <t>发射一枚穿透性子弹，对一条直线上的所有敌人造成</t>
    </r>
    <r>
      <rPr>
        <sz val="9.75"/>
        <color rgb="FFF54A45"/>
        <rFont val="Calibri"/>
        <charset val="134"/>
      </rPr>
      <t>高额伤害</t>
    </r>
    <r>
      <rPr>
        <sz val="9.75"/>
        <color rgb="FF000000"/>
        <rFont val="Calibri"/>
        <charset val="134"/>
      </rPr>
      <t>（对首个目标伤害最高,后续只有40%），并有30%使目标麻痹（无法行动）1.5秒。</t>
    </r>
  </si>
  <si>
    <t>Fires a piercing bullet that deals high damage to all enemies in a line (highest on first target, 40% on others), with a 30% chance to paralyze targets for 1.5 seconds.</t>
  </si>
  <si>
    <t>PE_LightningStrikeTall (UnityEngine.GameObject)</t>
  </si>
  <si>
    <t>[0.3,1.5]</t>
  </si>
  <si>
    <t>弱点解析</t>
  </si>
  <si>
    <t xml:space="preserve">Weakness Analysis  </t>
  </si>
  <si>
    <r>
      <rPr>
        <sz val="9.75"/>
        <color rgb="FFF54A45"/>
        <rFont val="Calibri"/>
        <charset val="134"/>
      </rPr>
      <t>普通攻击有$的概率</t>
    </r>
    <r>
      <rPr>
        <sz val="9.75"/>
        <color rgb="FF000000"/>
        <rFont val="Calibri"/>
        <charset val="134"/>
      </rPr>
      <t>造成无视部分防御的暴击。</t>
    </r>
  </si>
  <si>
    <t>Basic attacks have a $% chance to crit, ignoring part of the target’s defense.</t>
  </si>
  <si>
    <t>应急供电</t>
  </si>
  <si>
    <t xml:space="preserve">Emergency Power  </t>
  </si>
  <si>
    <r>
      <rPr>
        <sz val="9.75"/>
        <color rgb="FF000000"/>
        <rFont val="Calibri"/>
        <charset val="134"/>
      </rPr>
      <t>在基地中时，</t>
    </r>
    <r>
      <rPr>
        <sz val="9.75"/>
        <color rgb="FFF54A45"/>
        <rFont val="Calibri"/>
        <charset val="134"/>
      </rPr>
      <t>提升$石头生产效率</t>
    </r>
    <r>
      <rPr>
        <sz val="9.75"/>
        <color rgb="FF000000"/>
        <rFont val="Calibri"/>
        <charset val="134"/>
      </rPr>
      <t>。</t>
    </r>
  </si>
  <si>
    <t>While in the base, stone production efficiency increases by $%.</t>
  </si>
  <si>
    <t>碎颅猛击</t>
  </si>
  <si>
    <t xml:space="preserve">Skullcrusher Strike  </t>
  </si>
  <si>
    <r>
      <rPr>
        <sz val="9.75"/>
        <color rgb="FF000000"/>
        <rFont val="Calibri"/>
        <charset val="134"/>
      </rPr>
      <t>冲向生命值最高的敌方目标，对其造成</t>
    </r>
    <r>
      <rPr>
        <sz val="9.75"/>
        <color rgb="FFF54A45"/>
        <rFont val="Calibri"/>
        <charset val="134"/>
      </rPr>
      <t>高额伤害</t>
    </r>
    <r>
      <rPr>
        <sz val="9.75"/>
        <color rgb="FF000000"/>
        <rFont val="Calibri"/>
        <charset val="134"/>
      </rPr>
      <t>并降低其20%护甲，持续5秒。</t>
    </r>
  </si>
  <si>
    <t>Charges at the enemy with the highest HP, dealing high damage and reducing their armor by 20% for 5 seconds.</t>
  </si>
  <si>
    <t>1,3</t>
  </si>
  <si>
    <t>乘胜追击</t>
  </si>
  <si>
    <t xml:space="preserve">Press the Advantage  </t>
  </si>
  <si>
    <r>
      <rPr>
        <sz val="9.75"/>
        <color rgb="FF000000"/>
        <rFont val="Calibri"/>
        <charset val="134"/>
      </rPr>
      <t>对生命值低于30%的敌人造成的</t>
    </r>
    <r>
      <rPr>
        <sz val="9.75"/>
        <color rgb="FFF54A45"/>
        <rFont val="Calibri"/>
        <charset val="134"/>
      </rPr>
      <t>伤害提升$</t>
    </r>
    <r>
      <rPr>
        <sz val="9.75"/>
        <color rgb="FF000000"/>
        <rFont val="Calibri"/>
        <charset val="134"/>
      </rPr>
      <t>。</t>
    </r>
  </si>
  <si>
    <t>Damage dealt to enemies below 30% HP increases by $%.</t>
  </si>
  <si>
    <t>极地生存</t>
  </si>
  <si>
    <t xml:space="preserve">Arctic Survival  </t>
  </si>
  <si>
    <t>在副玩法中，载具血量提升5%。</t>
  </si>
  <si>
    <t>In side modes, vehicle HP increases by 5%.</t>
  </si>
  <si>
    <t>[0.05]</t>
  </si>
  <si>
    <t>举盾防御</t>
  </si>
  <si>
    <t xml:space="preserve">Shield Wall  </t>
  </si>
  <si>
    <r>
      <rPr>
        <sz val="9.75"/>
        <color rgb="FF000000"/>
        <rFont val="Calibri"/>
        <charset val="134"/>
      </rPr>
      <t>为自身施加一个持续4秒的护盾，</t>
    </r>
    <r>
      <rPr>
        <sz val="9.75"/>
        <color rgb="FFF54A45"/>
        <rFont val="Calibri"/>
        <charset val="134"/>
      </rPr>
      <t>吸收$伤害</t>
    </r>
  </si>
  <si>
    <t>Gains a shield for 4 seconds that absorbs $ damage.</t>
  </si>
  <si>
    <t>战地经验</t>
  </si>
  <si>
    <t xml:space="preserve">Battlefield Experience  </t>
  </si>
  <si>
    <r>
      <rPr>
        <sz val="9.75"/>
        <color rgb="FF000000"/>
        <rFont val="Calibri"/>
        <charset val="134"/>
      </rPr>
      <t>永久</t>
    </r>
    <r>
      <rPr>
        <sz val="9.75"/>
        <color rgb="FFF54A45"/>
        <rFont val="Calibri"/>
        <charset val="134"/>
      </rPr>
      <t>提升自身$的防御力</t>
    </r>
  </si>
  <si>
    <t>Permanently increases defense by $%.</t>
  </si>
  <si>
    <t>En</t>
  </si>
  <si>
    <t>鼓舞</t>
  </si>
  <si>
    <t>Rally</t>
  </si>
  <si>
    <r>
      <rPr>
        <sz val="9.75"/>
        <color rgb="FFF54A45"/>
        <rFont val="Calibri"/>
        <charset val="134"/>
      </rPr>
      <t>提升周围友军$的攻击速度</t>
    </r>
    <r>
      <rPr>
        <sz val="9.75"/>
        <color rgb="FF000000"/>
        <rFont val="Calibri"/>
        <charset val="134"/>
      </rPr>
      <t>。</t>
    </r>
  </si>
  <si>
    <t>Increases nearby allies’ attack speed by $%.</t>
  </si>
  <si>
    <t>Jack(主角)</t>
  </si>
  <si>
    <t>速攻</t>
  </si>
  <si>
    <t>Blitz</t>
  </si>
  <si>
    <t>在5s内提高攻速百分之100</t>
  </si>
  <si>
    <t>Increase attack speed by 100% within 5 seconds</t>
  </si>
  <si>
    <t>Jack（主角）</t>
  </si>
  <si>
    <t>枪林弹雨</t>
  </si>
  <si>
    <t>bullet rain</t>
  </si>
  <si>
    <t>切换成强力散弹枪，对前方扇形敌人造成攻击力60%的AOE伤害</t>
  </si>
  <si>
    <t>Switch to a powerful shotgun and deal 60% AOE damage to the fan-shaped enemies ahead</t>
  </si>
  <si>
    <t>初始值为（10s）之后便为20s</t>
  </si>
  <si>
    <t>强化攻速</t>
  </si>
  <si>
    <t>Enhance Attack Speed</t>
  </si>
  <si>
    <t>基础攻速提高百分之50</t>
  </si>
  <si>
    <t>Basic attack speed increased by 50%</t>
  </si>
  <si>
    <t>强壮体魄</t>
  </si>
  <si>
    <t xml:space="preserve">Muscular Structure </t>
  </si>
  <si>
    <t>生命值提高百分之百</t>
  </si>
  <si>
    <t>Increase health by 100%</t>
  </si>
  <si>
    <t>初始加成</t>
  </si>
  <si>
    <t>等级加成</t>
  </si>
  <si>
    <t>Desc</t>
  </si>
  <si>
    <t>CD</t>
  </si>
  <si>
    <t>SkillType</t>
  </si>
  <si>
    <t>Primary</t>
  </si>
  <si>
    <t>Bonus</t>
  </si>
  <si>
    <t>[0.2,0.23,0.26,0.29,0.32]</t>
  </si>
  <si>
    <t>[0.2,0.23,0.26,0.29,0.33]</t>
  </si>
  <si>
    <t>[0.06,0.07,0.08,0.09,0.1]</t>
  </si>
  <si>
    <t>1,1.2,1.4,1.6,1.8</t>
  </si>
  <si>
    <t>英雄iD</t>
  </si>
  <si>
    <t>英雄职业</t>
  </si>
  <si>
    <t>英雄称号</t>
  </si>
  <si>
    <t>英雄关键词</t>
  </si>
  <si>
    <t>英雄背景</t>
  </si>
  <si>
    <t>英雄台词</t>
  </si>
  <si>
    <t>英雄技能名称1</t>
  </si>
  <si>
    <t>英雄技能名称2</t>
  </si>
  <si>
    <t>英雄技能名称3</t>
  </si>
  <si>
    <t>英雄技能描述1</t>
  </si>
  <si>
    <t>英雄技能描述2</t>
  </si>
  <si>
    <t>英雄技能描述3</t>
  </si>
  <si>
    <t>HeroName</t>
  </si>
  <si>
    <t>Rarity</t>
  </si>
  <si>
    <t>HeroType</t>
  </si>
  <si>
    <t>HeroNickName</t>
  </si>
  <si>
    <t>HeroKeyword</t>
  </si>
  <si>
    <t>HeroBg</t>
  </si>
  <si>
    <t>HeroSay</t>
  </si>
  <si>
    <t>HeroSkill1</t>
  </si>
  <si>
    <t>HeroSkill2</t>
  </si>
  <si>
    <t>HeroSkill3</t>
  </si>
  <si>
    <t>SkillDec1</t>
  </si>
  <si>
    <t>SkillDec2</t>
  </si>
  <si>
    <t>SkillDec3</t>
  </si>
  <si>
    <t>永夜仲裁者</t>
  </si>
  <si>
    <t>全场狙击、冰冻控制、真实伤害</t>
  </si>
  <si>
    <t>永夜集团创始人的神秘女儿，C药物的首批完美适应者之一。她并未完全丧尸化，而是获得了操控寒冰并感知生命能量的能力。她认为自己是新世界的审判者，用冰冷的狙击枪执行她的“净化”。</t>
  </si>
  <si>
    <t>在永恒的寒冬中，接受你们的命运。</t>
  </si>
  <si>
    <t>锁定全场生命值最低的3个敌人，依次发射贯穿冰弹，造成巨额真实百分比伤害（无视防御）并有高概率冻结目标2秒。</t>
  </si>
  <si>
    <t>普通攻击有20%概率减速敌人，并对已被冻结的敌人造成额外伤害。</t>
  </si>
  <si>
    <t>在基地中时，所有资源产量中幅度提升。</t>
  </si>
  <si>
    <t>不灭巨人</t>
  </si>
  <si>
    <t>无限成长、狂暴复活、群体嘲讽</t>
  </si>
  <si>
    <t>一位在核爆中心奇迹生还的科学家，身体与实验中的纳米机器人融合。他不断吸收周围的金属与辐射来修复和强化自身，是一个近乎不死的存在</t>
  </si>
  <si>
    <t>疼痛……是我存在的证明！</t>
  </si>
  <si>
    <t>牺牲当前30%生命值，对周围所有敌人造成基于自身已损失生命值的巨额伤害，并强制嘲讽所有敌人5秒。</t>
  </si>
  <si>
    <t>每次受到伤害，都会永久增加微量最大生命值（有上限）。击败敌人时，回复自身最大生命值一定百分比的血量。</t>
  </si>
  <si>
    <t>首次阵亡时，会立即复活并恢复40%最大生命值，并在接下来10秒内攻击力大幅提升。</t>
  </si>
  <si>
    <t>磁暴射手</t>
  </si>
  <si>
    <t>直线穿透、电磁麻痹、高暴击</t>
  </si>
  <si>
    <t>天才电工，自制了一把电磁狙击步枪。她的攻击能无视轻甲掩护，对关键目标造成致命打击。</t>
  </si>
  <si>
    <t>目标锁定，通道清空。</t>
  </si>
  <si>
    <t>发射一枚穿透性子弹，对一条直线上的所有敌人造成高额伤害（对首个目标伤害最高），并有概率使目标麻痹（无法行动）1.5秒。</t>
  </si>
  <si>
    <t>普通攻击有15%的概率造成无视部分防御的暴击。</t>
  </si>
  <si>
    <t>在基地中工作时，略微提升石头生产效率。</t>
  </si>
  <si>
    <t>突进破甲、单体爆发</t>
  </si>
  <si>
    <t>前安保人员，作风强硬，擅长使用动力锤进行中近距离的强力突破。</t>
  </si>
  <si>
    <t>他们的防御，不堪一击！</t>
  </si>
  <si>
    <t>冲向生命值最高的敌方目标，对其造成高额伤害并大幅降低其护甲，持续5秒。</t>
  </si>
  <si>
    <t>对生命值低于30%的敌人造成的伤害提升25%。</t>
  </si>
  <si>
    <t>可靠老兵</t>
  </si>
  <si>
    <t>稳定减伤、新手之友</t>
  </si>
  <si>
    <t>一位经验丰富的老兵，虽然身体因年迈不再巅峰，但他的经验和坚定的意志让他依然是最值得信赖的前排。</t>
  </si>
  <si>
    <t>孩子，待在我身后。这面盾牌和我一样可靠。</t>
  </si>
  <si>
    <t>为自身施加一个持续4秒的护盾，吸收少量伤害</t>
  </si>
  <si>
    <t>永久提升自身一定比例的防御力。</t>
  </si>
  <si>
    <t>略微提升周围友军的攻击速度。</t>
  </si>
  <si>
    <t>类别</t>
  </si>
  <si>
    <t>人物</t>
  </si>
  <si>
    <t>R级肉盾</t>
  </si>
  <si>
    <t>R级战士</t>
  </si>
  <si>
    <t>R级远程</t>
  </si>
  <si>
    <t>SR级肉盾</t>
  </si>
  <si>
    <t>SR级战士</t>
  </si>
  <si>
    <t>SR级远程</t>
  </si>
  <si>
    <t>SSR级肉盾</t>
  </si>
  <si>
    <t>SSR级战士</t>
  </si>
  <si>
    <t>SSR级远程</t>
  </si>
  <si>
    <t xml:space="preserve">                   能力
职业</t>
  </si>
  <si>
    <t>生命值</t>
  </si>
  <si>
    <t>攻击力</t>
  </si>
  <si>
    <t>防御力</t>
  </si>
  <si>
    <t>综合能力</t>
  </si>
  <si>
    <t>评级</t>
  </si>
  <si>
    <t>分数</t>
  </si>
  <si>
    <t>战士</t>
  </si>
  <si>
    <t>B</t>
  </si>
  <si>
    <t>A</t>
  </si>
  <si>
    <t>远程</t>
  </si>
  <si>
    <t>C</t>
  </si>
  <si>
    <t>肉盾</t>
  </si>
  <si>
    <t>对方DEF</t>
  </si>
  <si>
    <t>Finall_DPS</t>
  </si>
  <si>
    <t>TTK</t>
  </si>
  <si>
    <t>防御参数1</t>
  </si>
  <si>
    <t>我方英雄</t>
  </si>
  <si>
    <t>对方英雄</t>
  </si>
  <si>
    <t>同品质同级别</t>
  </si>
  <si>
    <t>品质降低，时间减半</t>
  </si>
  <si>
    <t>防御参数2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</si>
</sst>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0"/>
      <color theme="1"/>
      <name val="等线"/>
      <charset val="134"/>
      <scheme val="minor"/>
    </font>
    <font>
      <sz val="9.75"/>
      <color rgb="FF000000"/>
      <name val="等线"/>
      <charset val="134"/>
      <scheme val="minor"/>
    </font>
    <font>
      <sz val="10.5"/>
      <color rgb="FF000000"/>
      <name val="等线"/>
      <charset val="134"/>
      <scheme val="minor"/>
    </font>
    <font>
      <sz val="9.75"/>
      <color rgb="FF1F2329"/>
      <name val="等线"/>
      <charset val="134"/>
      <scheme val="minor"/>
    </font>
    <font>
      <sz val="10.5"/>
      <color rgb="FF404040"/>
      <name val="等线"/>
      <charset val="134"/>
      <scheme val="minor"/>
    </font>
    <font>
      <sz val="10.5"/>
      <color rgb="FF0F1115"/>
      <name val="等线"/>
      <charset val="134"/>
      <scheme val="minor"/>
    </font>
    <font>
      <b/>
      <sz val="10.5"/>
      <color rgb="FF000000"/>
      <name val="等线"/>
      <charset val="134"/>
      <scheme val="minor"/>
    </font>
    <font>
      <sz val="10.5"/>
      <color rgb="FF1F2329"/>
      <name val="等线"/>
      <charset val="134"/>
      <scheme val="minor"/>
    </font>
    <font>
      <b/>
      <sz val="10.5"/>
      <color rgb="FF1F2329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9.75"/>
      <color rgb="FF000000"/>
      <name val="Calibri"/>
      <charset val="134"/>
    </font>
    <font>
      <sz val="9.75"/>
      <color rgb="FFF54A45"/>
      <name val="Calibri"/>
      <charset val="134"/>
    </font>
  </fonts>
  <fills count="38">
    <fill>
      <patternFill patternType="none"/>
    </fill>
    <fill>
      <patternFill patternType="gray125"/>
    </fill>
    <fill>
      <patternFill patternType="solid">
        <fgColor rgb="FFFFF258"/>
        <bgColor indexed="64"/>
      </patternFill>
    </fill>
    <fill>
      <patternFill patternType="solid">
        <fgColor rgb="FFFFBA6B"/>
        <bgColor indexed="64"/>
      </patternFill>
    </fill>
    <fill>
      <patternFill patternType="solid">
        <fgColor rgb="FFD8393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88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 diagonalDown="1">
      <left style="thin">
        <color rgb="FF1F2329"/>
      </left>
      <right/>
      <top style="thin">
        <color rgb="FF1F2329"/>
      </top>
      <bottom/>
      <diagonal style="thin">
        <color rgb="FF1F2329"/>
      </diagonal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/>
      <right style="thin">
        <color rgb="FF1F2329"/>
      </right>
      <top style="thin">
        <color rgb="FF1F232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/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/>
      <right style="thin">
        <color rgb="FF1F2329"/>
      </right>
      <top/>
      <bottom style="thin">
        <color rgb="FF1F2329"/>
      </bottom>
      <diagonal/>
    </border>
    <border>
      <left style="thin">
        <color rgb="FF5D5D5D"/>
      </left>
      <right style="thin">
        <color rgb="FF5D5D5D"/>
      </right>
      <top style="thin">
        <color rgb="FF5D5D5D"/>
      </top>
      <bottom style="thin">
        <color rgb="FF5D5D5D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7" borderId="12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8" borderId="15" applyNumberFormat="0" applyAlignment="0" applyProtection="0">
      <alignment vertical="center"/>
    </xf>
    <xf numFmtId="0" fontId="19" fillId="9" borderId="16" applyNumberFormat="0" applyAlignment="0" applyProtection="0">
      <alignment vertical="center"/>
    </xf>
    <xf numFmtId="0" fontId="20" fillId="9" borderId="15" applyNumberFormat="0" applyAlignment="0" applyProtection="0">
      <alignment vertical="center"/>
    </xf>
    <xf numFmtId="0" fontId="21" fillId="10" borderId="17" applyNumberFormat="0" applyAlignment="0" applyProtection="0">
      <alignment vertical="center"/>
    </xf>
    <xf numFmtId="0" fontId="22" fillId="0" borderId="18" applyNumberFormat="0" applyFill="0" applyAlignment="0" applyProtection="0">
      <alignment vertical="center"/>
    </xf>
    <xf numFmtId="0" fontId="23" fillId="0" borderId="19" applyNumberFormat="0" applyFill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</cellStyleXfs>
  <cellXfs count="76"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3" borderId="1" xfId="0" applyFont="1" applyFill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3" borderId="0" xfId="0" applyFont="1" applyFill="1" applyAlignment="1">
      <alignment vertical="center"/>
    </xf>
    <xf numFmtId="0" fontId="4" fillId="0" borderId="1" xfId="0" applyFont="1" applyBorder="1" applyAlignment="1">
      <alignment horizontal="center" vertical="center" wrapText="1"/>
    </xf>
    <xf numFmtId="1" fontId="2" fillId="0" borderId="1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4" borderId="1" xfId="0" applyFont="1" applyFill="1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3" xfId="0" applyFont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/>
    <xf numFmtId="0" fontId="1" fillId="0" borderId="4" xfId="0" applyFont="1" applyBorder="1" applyAlignment="1">
      <alignment horizontal="center" vertical="center"/>
    </xf>
    <xf numFmtId="1" fontId="2" fillId="0" borderId="5" xfId="0" applyNumberFormat="1" applyFont="1" applyBorder="1" applyAlignment="1">
      <alignment horizontal="center" vertical="center" wrapText="1"/>
    </xf>
    <xf numFmtId="1" fontId="2" fillId="2" borderId="5" xfId="0" applyNumberFormat="1" applyFont="1" applyFill="1" applyBorder="1" applyAlignment="1">
      <alignment horizontal="center" vertical="center" wrapText="1"/>
    </xf>
    <xf numFmtId="1" fontId="2" fillId="2" borderId="1" xfId="0" applyNumberFormat="1" applyFont="1" applyFill="1" applyBorder="1" applyAlignment="1">
      <alignment horizontal="center" vertical="center" wrapText="1"/>
    </xf>
    <xf numFmtId="1" fontId="5" fillId="0" borderId="1" xfId="0" applyNumberFormat="1" applyFont="1" applyBorder="1" applyAlignment="1">
      <alignment horizontal="center" vertical="center" wrapText="1"/>
    </xf>
    <xf numFmtId="1" fontId="2" fillId="0" borderId="1" xfId="0" applyNumberFormat="1" applyFont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1" fontId="2" fillId="0" borderId="1" xfId="0" applyNumberFormat="1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top" wrapText="1"/>
    </xf>
    <xf numFmtId="0" fontId="1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vertical="center" wrapText="1"/>
    </xf>
    <xf numFmtId="0" fontId="1" fillId="0" borderId="5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6" xfId="0" applyFont="1" applyBorder="1" applyAlignment="1">
      <alignment horizontal="left" vertical="top" wrapText="1"/>
    </xf>
    <xf numFmtId="0" fontId="1" fillId="0" borderId="6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1" fontId="6" fillId="0" borderId="7" xfId="0" applyNumberFormat="1" applyFont="1" applyBorder="1" applyAlignment="1">
      <alignment horizontal="center" vertical="top"/>
    </xf>
    <xf numFmtId="0" fontId="6" fillId="0" borderId="7" xfId="0" applyFont="1" applyBorder="1" applyAlignment="1">
      <alignment horizontal="center" vertical="top"/>
    </xf>
    <xf numFmtId="1" fontId="2" fillId="0" borderId="0" xfId="0" applyNumberFormat="1" applyFont="1" applyAlignment="1"/>
    <xf numFmtId="0" fontId="2" fillId="0" borderId="0" xfId="0" applyFont="1" applyAlignment="1"/>
    <xf numFmtId="1" fontId="1" fillId="0" borderId="0" xfId="0" applyNumberFormat="1" applyFont="1" applyAlignment="1">
      <alignment vertical="center"/>
    </xf>
    <xf numFmtId="1" fontId="2" fillId="0" borderId="8" xfId="0" applyNumberFormat="1" applyFont="1" applyBorder="1" applyAlignment="1">
      <alignment horizontal="center" vertical="center"/>
    </xf>
    <xf numFmtId="1" fontId="2" fillId="0" borderId="9" xfId="0" applyNumberFormat="1" applyFont="1" applyBorder="1" applyAlignment="1">
      <alignment horizontal="center" vertical="center"/>
    </xf>
    <xf numFmtId="1" fontId="2" fillId="0" borderId="10" xfId="0" applyNumberFormat="1" applyFont="1" applyBorder="1" applyAlignment="1">
      <alignment horizontal="center" vertical="center" wrapText="1"/>
    </xf>
    <xf numFmtId="1" fontId="2" fillId="0" borderId="9" xfId="0" applyNumberFormat="1" applyFont="1" applyBorder="1" applyAlignment="1">
      <alignment horizontal="center" vertical="center" wrapText="1"/>
    </xf>
    <xf numFmtId="0" fontId="1" fillId="0" borderId="9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horizontal="center" vertical="center"/>
    </xf>
    <xf numFmtId="1" fontId="2" fillId="0" borderId="2" xfId="0" applyNumberFormat="1" applyFont="1" applyBorder="1" applyAlignment="1">
      <alignment horizontal="center" vertical="center"/>
    </xf>
    <xf numFmtId="1" fontId="2" fillId="0" borderId="4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vertical="center"/>
    </xf>
    <xf numFmtId="0" fontId="2" fillId="0" borderId="4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9" fontId="1" fillId="0" borderId="1" xfId="0" applyNumberFormat="1" applyFont="1" applyBorder="1" applyAlignment="1">
      <alignment horizontal="center" vertical="center"/>
    </xf>
    <xf numFmtId="9" fontId="1" fillId="0" borderId="1" xfId="0" applyNumberFormat="1" applyFont="1" applyBorder="1" applyAlignment="1">
      <alignment vertical="center"/>
    </xf>
    <xf numFmtId="0" fontId="7" fillId="0" borderId="1" xfId="0" applyFont="1" applyBorder="1" applyAlignment="1">
      <alignment horizontal="center" vertical="center" wrapText="1"/>
    </xf>
    <xf numFmtId="1" fontId="7" fillId="0" borderId="1" xfId="0" applyNumberFormat="1" applyFont="1" applyBorder="1" applyAlignment="1">
      <alignment horizontal="center" vertical="center" wrapText="1"/>
    </xf>
    <xf numFmtId="1" fontId="7" fillId="0" borderId="9" xfId="0" applyNumberFormat="1" applyFont="1" applyBorder="1" applyAlignment="1">
      <alignment horizontal="center" vertical="center" wrapText="1"/>
    </xf>
    <xf numFmtId="3" fontId="7" fillId="0" borderId="1" xfId="0" applyNumberFormat="1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7" fillId="0" borderId="11" xfId="0" applyFont="1" applyBorder="1" applyAlignment="1">
      <alignment vertical="center" wrapText="1"/>
    </xf>
    <xf numFmtId="0" fontId="8" fillId="0" borderId="11" xfId="0" applyFont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tyles" Target="styles.xml"/><Relationship Id="rId14" Type="http://schemas.openxmlformats.org/officeDocument/2006/relationships/sharedStrings" Target="sharedStrings.xml"/><Relationship Id="rId13" Type="http://schemas.openxmlformats.org/officeDocument/2006/relationships/theme" Target="theme/theme1.xml"/><Relationship Id="rId12" Type="http://schemas.openxmlformats.org/officeDocument/2006/relationships/externalLink" Target="externalLinks/externalLink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0"/>
          <a:lstStyle/>
          <a:p>
            <a:pPr>
              <a:defRPr lang="zh-CN"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en-US" b="1" i="0" kern="0" spc="0" baseline="0"/>
              <a:t>DPS分析</a:t>
            </a:r>
            <a:endParaRPr lang="en-US" altLang="en-US" b="1" i="0" kern="0" spc="0" baseline="0"/>
          </a:p>
        </c:rich>
      </c:tx>
      <c:layout>
        <c:manualLayout>
          <c:xMode val="edge"/>
          <c:yMode val="edge"/>
          <c:x val="0"/>
          <c:y val="0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 cmpd="sng" algn="ctr">
              <a:solidFill>
                <a:srgbClr val="5383F1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主角数值!$I$2:$I$11</c:f>
              <c:numCache>
                <c:formatCode>General</c:formatCode>
                <c:ptCount val="10"/>
                <c:pt idx="0">
                  <c:v>114.285714285714</c:v>
                </c:pt>
                <c:pt idx="1">
                  <c:v>142.857142857143</c:v>
                </c:pt>
                <c:pt idx="2">
                  <c:v>171.428571428571</c:v>
                </c:pt>
                <c:pt idx="3">
                  <c:v>200</c:v>
                </c:pt>
                <c:pt idx="4">
                  <c:v>228.571428571429</c:v>
                </c:pt>
                <c:pt idx="5">
                  <c:v>257.142857142857</c:v>
                </c:pt>
                <c:pt idx="6">
                  <c:v>285.714285714286</c:v>
                </c:pt>
                <c:pt idx="7">
                  <c:v>314.285714285714</c:v>
                </c:pt>
                <c:pt idx="8">
                  <c:v>342.857142857143</c:v>
                </c:pt>
                <c:pt idx="9">
                  <c:v>371.428571428572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1"/>
        <c:axId val="754001152"/>
        <c:axId val="753999904"/>
      </c:lineChart>
      <c:catAx>
        <c:axId val="7540011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53999904"/>
        <c:crosses val="min"/>
        <c:auto val="1"/>
        <c:lblAlgn val="ctr"/>
        <c:lblOffset val="100"/>
        <c:noMultiLvlLbl val="0"/>
      </c:catAx>
      <c:valAx>
        <c:axId val="753999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54001152"/>
        <c:crosses val="min"/>
        <c:crossBetween val="between"/>
      </c:valAx>
      <c:spPr>
        <a:noFill/>
        <a:ln>
          <a:noFill/>
        </a:ln>
      </c:spPr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f0dc777-1b8d-4592-845a-2fa06b66c085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19050</xdr:colOff>
      <xdr:row>2</xdr:row>
      <xdr:rowOff>9525</xdr:rowOff>
    </xdr:from>
    <xdr:to>
      <xdr:col>13</xdr:col>
      <xdr:colOff>790575</xdr:colOff>
      <xdr:row>16</xdr:row>
      <xdr:rowOff>133350</xdr:rowOff>
    </xdr:to>
    <xdr:graphicFrame>
      <xdr:nvGraphicFramePr>
        <xdr:cNvPr id="2" name="Chart 2"/>
        <xdr:cNvGraphicFramePr/>
      </xdr:nvGraphicFramePr>
      <xdr:xfrm>
        <a:off x="8340090" y="405765"/>
        <a:ext cx="4469765" cy="287210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diaoyuzhe/Desktop/SLG&#25968;&#25454;&#24314;&#27169;/SLG&#25968;&#20540;/&#33521;&#38596;&#31867;&#25968;&#25454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星级要求"/>
      <sheetName val="英雄升级要求"/>
      <sheetName val="英雄数值"/>
      <sheetName val="星级加成数值"/>
      <sheetName val="主角数值"/>
      <sheetName val="技能升级需求及战力提升数值"/>
      <sheetName val="英雄技能数值及描述"/>
      <sheetName val="英雄技能数值及描述（副本）"/>
      <sheetName val="英雄图鉴"/>
      <sheetName val="标准人"/>
      <sheetName val="职业测评"/>
      <sheetName val="伤害测试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2">
          <cell r="B2">
            <v>100</v>
          </cell>
          <cell r="C2">
            <v>500</v>
          </cell>
          <cell r="D2">
            <v>2000</v>
          </cell>
        </row>
        <row r="3">
          <cell r="B3">
            <v>140</v>
          </cell>
          <cell r="C3">
            <v>511.02</v>
          </cell>
          <cell r="D3">
            <v>2200</v>
          </cell>
        </row>
        <row r="4">
          <cell r="B4">
            <v>180</v>
          </cell>
          <cell r="C4">
            <v>522.04</v>
          </cell>
          <cell r="D4">
            <v>2400</v>
          </cell>
        </row>
        <row r="5">
          <cell r="B5">
            <v>220</v>
          </cell>
          <cell r="C5">
            <v>533.06</v>
          </cell>
          <cell r="D5">
            <v>2600</v>
          </cell>
        </row>
        <row r="6">
          <cell r="B6">
            <v>260</v>
          </cell>
          <cell r="C6">
            <v>544.08</v>
          </cell>
          <cell r="D6">
            <v>2800</v>
          </cell>
        </row>
        <row r="7">
          <cell r="B7">
            <v>300</v>
          </cell>
          <cell r="C7">
            <v>555.1</v>
          </cell>
          <cell r="D7">
            <v>3000</v>
          </cell>
        </row>
        <row r="8">
          <cell r="B8">
            <v>340</v>
          </cell>
          <cell r="C8">
            <v>566.12</v>
          </cell>
          <cell r="D8">
            <v>3200</v>
          </cell>
        </row>
        <row r="9">
          <cell r="B9">
            <v>380</v>
          </cell>
          <cell r="C9">
            <v>577.14</v>
          </cell>
          <cell r="D9">
            <v>3400</v>
          </cell>
        </row>
        <row r="10">
          <cell r="B10">
            <v>420</v>
          </cell>
          <cell r="C10">
            <v>588.16</v>
          </cell>
          <cell r="D10">
            <v>3600</v>
          </cell>
        </row>
        <row r="11">
          <cell r="B11">
            <v>460</v>
          </cell>
          <cell r="C11">
            <v>599.18</v>
          </cell>
          <cell r="D11">
            <v>3800</v>
          </cell>
        </row>
        <row r="12">
          <cell r="B12">
            <v>500</v>
          </cell>
          <cell r="C12">
            <v>610.2</v>
          </cell>
          <cell r="D12">
            <v>4000</v>
          </cell>
        </row>
        <row r="13">
          <cell r="B13">
            <v>540</v>
          </cell>
          <cell r="C13">
            <v>621.22</v>
          </cell>
          <cell r="D13">
            <v>4200</v>
          </cell>
        </row>
        <row r="14">
          <cell r="B14">
            <v>580</v>
          </cell>
          <cell r="C14">
            <v>632.24</v>
          </cell>
          <cell r="D14">
            <v>4400</v>
          </cell>
        </row>
        <row r="15">
          <cell r="B15">
            <v>620</v>
          </cell>
          <cell r="C15">
            <v>643.26</v>
          </cell>
          <cell r="D15">
            <v>4600</v>
          </cell>
        </row>
        <row r="16">
          <cell r="B16">
            <v>660</v>
          </cell>
          <cell r="C16">
            <v>654.28</v>
          </cell>
          <cell r="D16">
            <v>4800</v>
          </cell>
        </row>
        <row r="17">
          <cell r="B17">
            <v>700</v>
          </cell>
          <cell r="C17">
            <v>665.3</v>
          </cell>
          <cell r="D17">
            <v>5000</v>
          </cell>
        </row>
        <row r="18">
          <cell r="B18">
            <v>740</v>
          </cell>
          <cell r="C18">
            <v>676.32</v>
          </cell>
          <cell r="D18">
            <v>5200</v>
          </cell>
        </row>
        <row r="19">
          <cell r="B19">
            <v>780</v>
          </cell>
          <cell r="C19">
            <v>687.34</v>
          </cell>
          <cell r="D19">
            <v>5400</v>
          </cell>
        </row>
        <row r="20">
          <cell r="B20">
            <v>820</v>
          </cell>
          <cell r="C20">
            <v>698.36</v>
          </cell>
          <cell r="D20">
            <v>5600</v>
          </cell>
        </row>
        <row r="21">
          <cell r="B21">
            <v>860</v>
          </cell>
          <cell r="C21">
            <v>709.38</v>
          </cell>
          <cell r="D21">
            <v>5800</v>
          </cell>
        </row>
        <row r="22">
          <cell r="B22">
            <v>900</v>
          </cell>
          <cell r="C22">
            <v>720.4</v>
          </cell>
          <cell r="D22">
            <v>6000</v>
          </cell>
        </row>
        <row r="23">
          <cell r="B23">
            <v>940</v>
          </cell>
          <cell r="C23">
            <v>731.42</v>
          </cell>
          <cell r="D23">
            <v>6200</v>
          </cell>
        </row>
        <row r="24">
          <cell r="B24">
            <v>980</v>
          </cell>
          <cell r="C24">
            <v>742.44</v>
          </cell>
          <cell r="D24">
            <v>6400</v>
          </cell>
        </row>
        <row r="25">
          <cell r="B25">
            <v>1020</v>
          </cell>
          <cell r="C25">
            <v>753.46</v>
          </cell>
          <cell r="D25">
            <v>6600</v>
          </cell>
        </row>
        <row r="26">
          <cell r="B26">
            <v>1060</v>
          </cell>
          <cell r="C26">
            <v>764.48</v>
          </cell>
          <cell r="D26">
            <v>6800</v>
          </cell>
        </row>
        <row r="27">
          <cell r="B27">
            <v>1100</v>
          </cell>
          <cell r="C27">
            <v>775.5</v>
          </cell>
          <cell r="D27">
            <v>7000</v>
          </cell>
        </row>
        <row r="28">
          <cell r="B28">
            <v>1140</v>
          </cell>
          <cell r="C28">
            <v>786.52</v>
          </cell>
          <cell r="D28">
            <v>7200</v>
          </cell>
        </row>
        <row r="29">
          <cell r="B29">
            <v>1180</v>
          </cell>
          <cell r="C29">
            <v>797.54</v>
          </cell>
          <cell r="D29">
            <v>7400</v>
          </cell>
        </row>
        <row r="30">
          <cell r="B30">
            <v>1220</v>
          </cell>
          <cell r="C30">
            <v>808.56</v>
          </cell>
          <cell r="D30">
            <v>7600</v>
          </cell>
        </row>
        <row r="31">
          <cell r="B31">
            <v>1260</v>
          </cell>
          <cell r="C31">
            <v>819.58</v>
          </cell>
          <cell r="D31">
            <v>7800</v>
          </cell>
        </row>
        <row r="32">
          <cell r="B32">
            <v>1300</v>
          </cell>
          <cell r="C32">
            <v>830.6</v>
          </cell>
          <cell r="D32">
            <v>8000</v>
          </cell>
        </row>
        <row r="33">
          <cell r="B33">
            <v>1340</v>
          </cell>
          <cell r="C33">
            <v>841.62</v>
          </cell>
          <cell r="D33">
            <v>8200</v>
          </cell>
        </row>
        <row r="34">
          <cell r="B34">
            <v>1380</v>
          </cell>
          <cell r="C34">
            <v>852.64</v>
          </cell>
          <cell r="D34">
            <v>8400</v>
          </cell>
        </row>
        <row r="35">
          <cell r="B35">
            <v>1420</v>
          </cell>
          <cell r="C35">
            <v>863.66</v>
          </cell>
          <cell r="D35">
            <v>8600</v>
          </cell>
        </row>
        <row r="36">
          <cell r="B36">
            <v>1460</v>
          </cell>
          <cell r="C36">
            <v>874.68</v>
          </cell>
          <cell r="D36">
            <v>8800</v>
          </cell>
        </row>
        <row r="37">
          <cell r="B37">
            <v>1500</v>
          </cell>
          <cell r="C37">
            <v>885.7</v>
          </cell>
          <cell r="D37">
            <v>9000</v>
          </cell>
        </row>
        <row r="38">
          <cell r="B38">
            <v>1540</v>
          </cell>
          <cell r="C38">
            <v>896.72</v>
          </cell>
          <cell r="D38">
            <v>9200</v>
          </cell>
        </row>
        <row r="39">
          <cell r="B39">
            <v>1580</v>
          </cell>
          <cell r="C39">
            <v>907.74</v>
          </cell>
          <cell r="D39">
            <v>9400</v>
          </cell>
        </row>
        <row r="40">
          <cell r="B40">
            <v>1620</v>
          </cell>
          <cell r="C40">
            <v>918.76</v>
          </cell>
          <cell r="D40">
            <v>9600</v>
          </cell>
        </row>
        <row r="41">
          <cell r="B41">
            <v>1660</v>
          </cell>
          <cell r="C41">
            <v>929.78</v>
          </cell>
          <cell r="D41">
            <v>9800</v>
          </cell>
        </row>
        <row r="42">
          <cell r="B42">
            <v>1700</v>
          </cell>
          <cell r="C42">
            <v>940.8</v>
          </cell>
          <cell r="D42">
            <v>10000</v>
          </cell>
        </row>
        <row r="43">
          <cell r="B43">
            <v>1740</v>
          </cell>
          <cell r="C43">
            <v>951.82</v>
          </cell>
          <cell r="D43">
            <v>10200</v>
          </cell>
        </row>
        <row r="44">
          <cell r="B44">
            <v>1780</v>
          </cell>
          <cell r="C44">
            <v>962.84</v>
          </cell>
          <cell r="D44">
            <v>10400</v>
          </cell>
        </row>
        <row r="45">
          <cell r="B45">
            <v>1820</v>
          </cell>
          <cell r="C45">
            <v>973.86</v>
          </cell>
          <cell r="D45">
            <v>10600</v>
          </cell>
        </row>
        <row r="46">
          <cell r="B46">
            <v>1860</v>
          </cell>
          <cell r="C46">
            <v>984.88</v>
          </cell>
          <cell r="D46">
            <v>10800</v>
          </cell>
        </row>
        <row r="47">
          <cell r="B47">
            <v>1900</v>
          </cell>
          <cell r="C47">
            <v>995.9</v>
          </cell>
          <cell r="D47">
            <v>11000</v>
          </cell>
        </row>
        <row r="48">
          <cell r="B48">
            <v>1940</v>
          </cell>
          <cell r="C48">
            <v>1006.92</v>
          </cell>
          <cell r="D48">
            <v>11200</v>
          </cell>
        </row>
        <row r="49">
          <cell r="B49">
            <v>1980</v>
          </cell>
          <cell r="C49">
            <v>1017.94</v>
          </cell>
          <cell r="D49">
            <v>11400</v>
          </cell>
        </row>
        <row r="50">
          <cell r="B50">
            <v>2020</v>
          </cell>
          <cell r="C50">
            <v>1028.96</v>
          </cell>
          <cell r="D50">
            <v>11600</v>
          </cell>
        </row>
        <row r="51">
          <cell r="B51">
            <v>2060</v>
          </cell>
          <cell r="C51">
            <v>1039.98</v>
          </cell>
          <cell r="D51">
            <v>11800</v>
          </cell>
        </row>
        <row r="52">
          <cell r="B52">
            <v>2100</v>
          </cell>
          <cell r="C52">
            <v>1051</v>
          </cell>
          <cell r="D52">
            <v>12000</v>
          </cell>
        </row>
        <row r="53">
          <cell r="B53">
            <v>2140</v>
          </cell>
          <cell r="C53">
            <v>1062.02</v>
          </cell>
          <cell r="D53">
            <v>12200</v>
          </cell>
        </row>
        <row r="54">
          <cell r="B54">
            <v>2180</v>
          </cell>
          <cell r="C54">
            <v>1073.04</v>
          </cell>
          <cell r="D54">
            <v>12400</v>
          </cell>
        </row>
        <row r="55">
          <cell r="B55">
            <v>2220</v>
          </cell>
          <cell r="C55">
            <v>1084.06</v>
          </cell>
          <cell r="D55">
            <v>12600</v>
          </cell>
        </row>
        <row r="56">
          <cell r="B56">
            <v>2260</v>
          </cell>
          <cell r="C56">
            <v>1095.08</v>
          </cell>
          <cell r="D56">
            <v>12800</v>
          </cell>
        </row>
        <row r="57">
          <cell r="B57">
            <v>2300</v>
          </cell>
          <cell r="C57">
            <v>1106.1</v>
          </cell>
          <cell r="D57">
            <v>13000</v>
          </cell>
        </row>
        <row r="58">
          <cell r="B58">
            <v>2340</v>
          </cell>
          <cell r="C58">
            <v>1117.12</v>
          </cell>
          <cell r="D58">
            <v>13200</v>
          </cell>
        </row>
        <row r="59">
          <cell r="B59">
            <v>2380</v>
          </cell>
          <cell r="C59">
            <v>1128.14</v>
          </cell>
          <cell r="D59">
            <v>13400</v>
          </cell>
        </row>
        <row r="60">
          <cell r="B60">
            <v>2420</v>
          </cell>
          <cell r="C60">
            <v>1139.16</v>
          </cell>
          <cell r="D60">
            <v>13600</v>
          </cell>
        </row>
        <row r="61">
          <cell r="B61">
            <v>2460</v>
          </cell>
          <cell r="C61">
            <v>1150.18</v>
          </cell>
          <cell r="D61">
            <v>13800</v>
          </cell>
        </row>
        <row r="62">
          <cell r="B62">
            <v>2500</v>
          </cell>
          <cell r="C62">
            <v>1161.2</v>
          </cell>
          <cell r="D62">
            <v>14000</v>
          </cell>
        </row>
        <row r="63">
          <cell r="B63">
            <v>2540</v>
          </cell>
          <cell r="C63">
            <v>1172.22</v>
          </cell>
          <cell r="D63">
            <v>14200</v>
          </cell>
        </row>
        <row r="64">
          <cell r="B64">
            <v>2580</v>
          </cell>
          <cell r="C64">
            <v>1183.24</v>
          </cell>
          <cell r="D64">
            <v>14400</v>
          </cell>
        </row>
        <row r="65">
          <cell r="B65">
            <v>2620</v>
          </cell>
          <cell r="C65">
            <v>1194.26</v>
          </cell>
          <cell r="D65">
            <v>14600</v>
          </cell>
        </row>
        <row r="66">
          <cell r="B66">
            <v>2660</v>
          </cell>
          <cell r="C66">
            <v>1205.28</v>
          </cell>
          <cell r="D66">
            <v>14800</v>
          </cell>
        </row>
        <row r="67">
          <cell r="B67">
            <v>2700</v>
          </cell>
          <cell r="C67">
            <v>1216.3</v>
          </cell>
          <cell r="D67">
            <v>15000</v>
          </cell>
        </row>
        <row r="68">
          <cell r="B68">
            <v>2740</v>
          </cell>
          <cell r="C68">
            <v>1227.32</v>
          </cell>
          <cell r="D68">
            <v>15200</v>
          </cell>
        </row>
        <row r="69">
          <cell r="B69">
            <v>2780</v>
          </cell>
          <cell r="C69">
            <v>1238.34</v>
          </cell>
          <cell r="D69">
            <v>15400</v>
          </cell>
        </row>
        <row r="70">
          <cell r="B70">
            <v>2820</v>
          </cell>
          <cell r="C70">
            <v>1249.36</v>
          </cell>
          <cell r="D70">
            <v>15600</v>
          </cell>
        </row>
        <row r="71">
          <cell r="B71">
            <v>2860</v>
          </cell>
          <cell r="C71">
            <v>1260.38</v>
          </cell>
          <cell r="D71">
            <v>15800</v>
          </cell>
        </row>
        <row r="72">
          <cell r="B72">
            <v>2900</v>
          </cell>
          <cell r="C72">
            <v>1271.4</v>
          </cell>
          <cell r="D72">
            <v>16000</v>
          </cell>
        </row>
        <row r="73">
          <cell r="B73">
            <v>2940</v>
          </cell>
          <cell r="C73">
            <v>1282.42</v>
          </cell>
          <cell r="D73">
            <v>16200</v>
          </cell>
        </row>
        <row r="74">
          <cell r="B74">
            <v>2980</v>
          </cell>
          <cell r="C74">
            <v>1293.44</v>
          </cell>
          <cell r="D74">
            <v>16400</v>
          </cell>
        </row>
        <row r="75">
          <cell r="B75">
            <v>3020</v>
          </cell>
          <cell r="C75">
            <v>1304.46</v>
          </cell>
          <cell r="D75">
            <v>16600</v>
          </cell>
        </row>
        <row r="76">
          <cell r="B76">
            <v>3060</v>
          </cell>
          <cell r="C76">
            <v>1315.48</v>
          </cell>
          <cell r="D76">
            <v>16800</v>
          </cell>
        </row>
        <row r="77">
          <cell r="B77">
            <v>3100</v>
          </cell>
          <cell r="C77">
            <v>1326.5</v>
          </cell>
          <cell r="D77">
            <v>17000</v>
          </cell>
        </row>
        <row r="78">
          <cell r="B78">
            <v>3140</v>
          </cell>
          <cell r="C78">
            <v>1337.52</v>
          </cell>
          <cell r="D78">
            <v>17200</v>
          </cell>
        </row>
        <row r="79">
          <cell r="B79">
            <v>3180</v>
          </cell>
          <cell r="C79">
            <v>1348.54</v>
          </cell>
          <cell r="D79">
            <v>17400</v>
          </cell>
        </row>
        <row r="80">
          <cell r="B80">
            <v>3220</v>
          </cell>
          <cell r="C80">
            <v>1359.56</v>
          </cell>
          <cell r="D80">
            <v>17600</v>
          </cell>
        </row>
        <row r="81">
          <cell r="B81">
            <v>3260</v>
          </cell>
          <cell r="C81">
            <v>1370.58</v>
          </cell>
          <cell r="D81">
            <v>17800</v>
          </cell>
        </row>
      </sheetData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K8"/>
  <sheetViews>
    <sheetView workbookViewId="0">
      <selection activeCell="A1" sqref="A1"/>
    </sheetView>
  </sheetViews>
  <sheetFormatPr defaultColWidth="14" defaultRowHeight="15.2" outlineLevelRow="7"/>
  <sheetData>
    <row r="1" ht="16" spans="1:11">
      <c r="A1" s="73" t="s">
        <v>0</v>
      </c>
      <c r="B1" s="73" t="s">
        <v>1</v>
      </c>
      <c r="C1" s="73" t="s">
        <v>2</v>
      </c>
      <c r="D1" s="73" t="s">
        <v>3</v>
      </c>
      <c r="E1" s="73" t="s">
        <v>4</v>
      </c>
      <c r="F1" s="73" t="s">
        <v>5</v>
      </c>
      <c r="G1" s="73" t="s">
        <v>6</v>
      </c>
      <c r="H1" s="73" t="s">
        <v>7</v>
      </c>
      <c r="I1" s="73" t="s">
        <v>8</v>
      </c>
    </row>
    <row r="2" ht="16" spans="1:11">
      <c r="A2" s="74"/>
      <c r="B2" s="74" t="s">
        <v>9</v>
      </c>
      <c r="C2" s="74">
        <v>1</v>
      </c>
      <c r="D2" s="74">
        <v>1</v>
      </c>
      <c r="E2" s="74">
        <v>2</v>
      </c>
      <c r="F2" s="74">
        <v>2</v>
      </c>
      <c r="G2" s="74">
        <v>2</v>
      </c>
      <c r="H2" s="74">
        <v>2</v>
      </c>
      <c r="I2" s="75">
        <v>20</v>
      </c>
    </row>
    <row r="3" ht="16" spans="1:11">
      <c r="A3" s="74" t="s">
        <v>10</v>
      </c>
      <c r="B3" s="74"/>
      <c r="C3" s="74">
        <v>5</v>
      </c>
      <c r="D3" s="74">
        <v>5</v>
      </c>
      <c r="E3" s="74">
        <v>5</v>
      </c>
      <c r="F3" s="74">
        <v>5</v>
      </c>
      <c r="G3" s="74">
        <v>5</v>
      </c>
      <c r="H3" s="74">
        <v>15</v>
      </c>
      <c r="I3" s="75">
        <v>40</v>
      </c>
    </row>
    <row r="4" ht="16" spans="1:11">
      <c r="A4" s="74" t="s">
        <v>11</v>
      </c>
      <c r="B4" s="74" t="s">
        <v>12</v>
      </c>
      <c r="C4" s="74">
        <v>15</v>
      </c>
      <c r="D4" s="74">
        <v>15</v>
      </c>
      <c r="E4" s="74">
        <v>15</v>
      </c>
      <c r="F4" s="74">
        <v>15</v>
      </c>
      <c r="G4" s="74">
        <v>15</v>
      </c>
      <c r="H4" s="74">
        <v>40</v>
      </c>
      <c r="I4" s="75">
        <v>115</v>
      </c>
    </row>
    <row r="5" ht="16" spans="1:11">
      <c r="A5" s="74" t="s">
        <v>13</v>
      </c>
      <c r="B5" s="74" t="s">
        <v>12</v>
      </c>
      <c r="C5" s="74">
        <v>40</v>
      </c>
      <c r="D5" s="74">
        <v>40</v>
      </c>
      <c r="E5" s="74">
        <v>40</v>
      </c>
      <c r="F5" s="74">
        <v>40</v>
      </c>
      <c r="G5" s="74">
        <v>40</v>
      </c>
      <c r="H5" s="74">
        <v>100</v>
      </c>
      <c r="I5" s="75">
        <v>300</v>
      </c>
    </row>
    <row r="6" ht="16" spans="1:11">
      <c r="A6" s="74" t="s">
        <v>14</v>
      </c>
      <c r="B6" s="74" t="s">
        <v>12</v>
      </c>
      <c r="C6" s="74">
        <v>100</v>
      </c>
      <c r="D6" s="74">
        <v>100</v>
      </c>
      <c r="E6" s="74">
        <v>100</v>
      </c>
      <c r="F6" s="74">
        <v>100</v>
      </c>
      <c r="G6" s="74">
        <v>100</v>
      </c>
      <c r="H6" s="74">
        <v>100</v>
      </c>
      <c r="I6" s="75">
        <v>600</v>
      </c>
    </row>
    <row r="7" spans="1:11">
      <c r="I7">
        <f>SUM(I2:I6)</f>
        <v>1075</v>
      </c>
    </row>
    <row r="8" spans="1:11">
      <c r="K8">
        <f>1911/I7</f>
        <v>1.77767441860465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O200"/>
  <sheetViews>
    <sheetView workbookViewId="0">
      <selection activeCell="A1" sqref="A1"/>
    </sheetView>
  </sheetViews>
  <sheetFormatPr defaultColWidth="14" defaultRowHeight="15.2"/>
  <cols>
    <col min="1" max="2" width="14" customWidth="1"/>
    <col min="6" max="6" width="14" customWidth="1"/>
    <col min="14" max="33" width="14" customWidth="1"/>
  </cols>
  <sheetData>
    <row r="1" ht="16" spans="1:15">
      <c r="A1" s="69" t="s">
        <v>15</v>
      </c>
      <c r="B1" s="70" t="s">
        <v>16</v>
      </c>
      <c r="C1" s="69" t="s">
        <v>17</v>
      </c>
      <c r="D1" s="69" t="s">
        <v>18</v>
      </c>
      <c r="E1" s="69" t="s">
        <v>19</v>
      </c>
      <c r="O1" s="6">
        <v>1500</v>
      </c>
    </row>
    <row r="2" ht="15.6" spans="1:15">
      <c r="A2" s="69">
        <v>1</v>
      </c>
      <c r="B2" s="71">
        <v>0</v>
      </c>
      <c r="C2" s="2">
        <v>4</v>
      </c>
      <c r="D2" s="69">
        <v>65</v>
      </c>
      <c r="E2" s="69">
        <v>2</v>
      </c>
      <c r="O2">
        <f>-1500</f>
        <v>-1500</v>
      </c>
    </row>
    <row r="3" ht="15.6" spans="1:15">
      <c r="A3" s="69">
        <v>2</v>
      </c>
      <c r="B3" s="70">
        <v>480</v>
      </c>
      <c r="C3" s="2">
        <v>4</v>
      </c>
      <c r="D3" s="69">
        <v>140</v>
      </c>
      <c r="E3" s="69">
        <v>2</v>
      </c>
    </row>
    <row r="4" ht="15.6" spans="1:15">
      <c r="A4" s="69">
        <v>3</v>
      </c>
      <c r="B4" s="70">
        <v>690</v>
      </c>
      <c r="C4" s="2">
        <v>4</v>
      </c>
      <c r="D4" s="69">
        <v>220</v>
      </c>
      <c r="E4" s="69">
        <v>2</v>
      </c>
      <c r="O4" s="6"/>
    </row>
    <row r="5" ht="15.6" spans="1:15">
      <c r="A5" s="69">
        <v>4</v>
      </c>
      <c r="B5" s="70">
        <v>920</v>
      </c>
      <c r="C5" s="2">
        <v>4</v>
      </c>
      <c r="D5" s="69">
        <v>305</v>
      </c>
      <c r="E5" s="69">
        <v>2</v>
      </c>
      <c r="O5" s="6"/>
    </row>
    <row r="6" ht="15.6" spans="1:15">
      <c r="A6" s="69">
        <v>5</v>
      </c>
      <c r="B6" s="70">
        <v>1200</v>
      </c>
      <c r="C6" s="2">
        <v>4</v>
      </c>
      <c r="D6" s="69">
        <v>400</v>
      </c>
      <c r="E6" s="69">
        <v>3</v>
      </c>
    </row>
    <row r="7" ht="15.6" spans="1:15">
      <c r="A7" s="69">
        <v>6</v>
      </c>
      <c r="B7" s="70">
        <v>1500</v>
      </c>
      <c r="C7" s="2">
        <v>4</v>
      </c>
      <c r="D7" s="69">
        <v>500</v>
      </c>
      <c r="E7" s="69">
        <v>3</v>
      </c>
    </row>
    <row r="8" ht="15.6" spans="1:15">
      <c r="A8" s="69">
        <v>7</v>
      </c>
      <c r="B8" s="70">
        <v>1800</v>
      </c>
      <c r="C8" s="2">
        <v>4</v>
      </c>
      <c r="D8" s="69">
        <v>605</v>
      </c>
      <c r="E8" s="69">
        <v>3</v>
      </c>
    </row>
    <row r="9" ht="15.6" spans="1:15">
      <c r="A9" s="69">
        <v>8</v>
      </c>
      <c r="B9" s="70">
        <v>2200</v>
      </c>
      <c r="C9" s="2">
        <v>4</v>
      </c>
      <c r="D9" s="69">
        <v>720</v>
      </c>
      <c r="E9" s="69">
        <v>3</v>
      </c>
    </row>
    <row r="10" ht="15.6" spans="1:15">
      <c r="A10" s="69">
        <v>9</v>
      </c>
      <c r="B10" s="70">
        <v>2600</v>
      </c>
      <c r="C10" s="2">
        <v>4</v>
      </c>
      <c r="D10" s="69">
        <v>840</v>
      </c>
      <c r="E10" s="69">
        <v>3</v>
      </c>
    </row>
    <row r="11" ht="15.6" spans="1:15">
      <c r="A11" s="69">
        <v>10</v>
      </c>
      <c r="B11" s="70">
        <v>3100</v>
      </c>
      <c r="C11" s="2">
        <v>4</v>
      </c>
      <c r="D11" s="69">
        <v>970</v>
      </c>
      <c r="E11" s="69">
        <v>4</v>
      </c>
    </row>
    <row r="12" ht="15.6" spans="1:15">
      <c r="A12" s="69">
        <v>11</v>
      </c>
      <c r="B12" s="70">
        <v>3800</v>
      </c>
      <c r="C12" s="2">
        <v>4</v>
      </c>
      <c r="D12" s="72">
        <v>1100</v>
      </c>
      <c r="E12" s="69">
        <v>4</v>
      </c>
    </row>
    <row r="13" ht="15.6" spans="1:15">
      <c r="A13" s="69">
        <v>12</v>
      </c>
      <c r="B13" s="70">
        <v>4200</v>
      </c>
      <c r="C13" s="2">
        <v>4</v>
      </c>
      <c r="D13" s="72">
        <v>1240</v>
      </c>
      <c r="E13" s="69">
        <v>4</v>
      </c>
    </row>
    <row r="14" ht="15.6" spans="1:15">
      <c r="A14" s="69">
        <v>13</v>
      </c>
      <c r="B14" s="70">
        <v>5100</v>
      </c>
      <c r="C14" s="2">
        <v>4</v>
      </c>
      <c r="D14" s="72">
        <v>1390</v>
      </c>
      <c r="E14" s="69">
        <v>4</v>
      </c>
    </row>
    <row r="15" ht="15.6" spans="1:15">
      <c r="A15" s="69">
        <v>14</v>
      </c>
      <c r="B15" s="70">
        <v>5700</v>
      </c>
      <c r="C15" s="2">
        <v>4</v>
      </c>
      <c r="D15" s="72">
        <v>1540</v>
      </c>
      <c r="E15" s="69">
        <v>4</v>
      </c>
    </row>
    <row r="16" ht="15.6" spans="1:15">
      <c r="A16" s="69">
        <v>15</v>
      </c>
      <c r="B16" s="70">
        <v>6800</v>
      </c>
      <c r="C16" s="2">
        <v>4</v>
      </c>
      <c r="D16" s="72">
        <v>1700</v>
      </c>
      <c r="E16" s="69">
        <v>4</v>
      </c>
    </row>
    <row r="17" ht="15.6" spans="1:5">
      <c r="A17" s="69">
        <v>16</v>
      </c>
      <c r="B17" s="70">
        <v>7800</v>
      </c>
      <c r="C17" s="2">
        <v>5</v>
      </c>
      <c r="D17" s="72">
        <v>1870</v>
      </c>
      <c r="E17" s="69">
        <v>4</v>
      </c>
    </row>
    <row r="18" ht="15.6" spans="1:5">
      <c r="A18" s="69">
        <v>17</v>
      </c>
      <c r="B18" s="70">
        <v>8900</v>
      </c>
      <c r="C18" s="2">
        <v>5</v>
      </c>
      <c r="D18" s="72">
        <v>2040</v>
      </c>
      <c r="E18" s="69">
        <v>4</v>
      </c>
    </row>
    <row r="19" ht="15.6" spans="1:5">
      <c r="A19" s="69">
        <v>18</v>
      </c>
      <c r="B19" s="70">
        <v>10000</v>
      </c>
      <c r="C19" s="2">
        <v>6</v>
      </c>
      <c r="D19" s="72">
        <v>2225</v>
      </c>
      <c r="E19" s="69">
        <v>4</v>
      </c>
    </row>
    <row r="20" ht="15.6" spans="1:5">
      <c r="A20" s="69">
        <v>19</v>
      </c>
      <c r="B20" s="70">
        <v>12000</v>
      </c>
      <c r="C20" s="2">
        <v>6</v>
      </c>
      <c r="D20" s="72">
        <v>2410</v>
      </c>
      <c r="E20" s="69">
        <v>4</v>
      </c>
    </row>
    <row r="21" ht="15.6" spans="1:5">
      <c r="A21" s="69">
        <v>20</v>
      </c>
      <c r="B21" s="70">
        <v>13000</v>
      </c>
      <c r="C21" s="2">
        <v>6</v>
      </c>
      <c r="D21" s="72">
        <v>2605</v>
      </c>
      <c r="E21" s="69">
        <v>5</v>
      </c>
    </row>
    <row r="22" ht="15.6" spans="1:5">
      <c r="A22" s="69">
        <v>21</v>
      </c>
      <c r="B22" s="70">
        <v>14000</v>
      </c>
      <c r="C22" s="2">
        <v>7</v>
      </c>
      <c r="D22" s="72">
        <v>2805</v>
      </c>
      <c r="E22" s="69">
        <v>5</v>
      </c>
    </row>
    <row r="23" ht="15.6" spans="1:5">
      <c r="A23" s="69">
        <v>22</v>
      </c>
      <c r="B23" s="70">
        <v>15000</v>
      </c>
      <c r="C23" s="2">
        <v>7</v>
      </c>
      <c r="D23" s="72">
        <v>3010</v>
      </c>
      <c r="E23" s="69">
        <v>5</v>
      </c>
    </row>
    <row r="24" ht="15.6" spans="1:5">
      <c r="A24" s="69">
        <v>23</v>
      </c>
      <c r="B24" s="70">
        <v>16000</v>
      </c>
      <c r="C24" s="2">
        <v>7</v>
      </c>
      <c r="D24" s="72">
        <v>3225</v>
      </c>
      <c r="E24" s="69">
        <v>5</v>
      </c>
    </row>
    <row r="25" ht="15.6" spans="1:5">
      <c r="A25" s="69">
        <v>24</v>
      </c>
      <c r="B25" s="70">
        <v>17000</v>
      </c>
      <c r="C25" s="2">
        <v>8</v>
      </c>
      <c r="D25" s="72">
        <v>3445</v>
      </c>
      <c r="E25" s="69">
        <v>5</v>
      </c>
    </row>
    <row r="26" ht="15.6" spans="1:5">
      <c r="A26" s="69">
        <v>25</v>
      </c>
      <c r="B26" s="70">
        <v>18000</v>
      </c>
      <c r="C26" s="2">
        <v>8</v>
      </c>
      <c r="D26" s="72">
        <v>3670</v>
      </c>
      <c r="E26" s="69">
        <v>5</v>
      </c>
    </row>
    <row r="27" ht="15.6" spans="1:5">
      <c r="A27" s="69">
        <v>26</v>
      </c>
      <c r="B27" s="70">
        <v>19000</v>
      </c>
      <c r="C27" s="2">
        <v>8</v>
      </c>
      <c r="D27" s="72">
        <v>3905</v>
      </c>
      <c r="E27" s="69">
        <v>5</v>
      </c>
    </row>
    <row r="28" ht="15.6" spans="1:5">
      <c r="A28" s="69">
        <v>27</v>
      </c>
      <c r="B28" s="70">
        <v>20000</v>
      </c>
      <c r="C28" s="2">
        <v>9</v>
      </c>
      <c r="D28" s="72">
        <v>4145</v>
      </c>
      <c r="E28" s="69">
        <v>5</v>
      </c>
    </row>
    <row r="29" ht="15.6" spans="1:5">
      <c r="A29" s="69">
        <v>28</v>
      </c>
      <c r="B29" s="70">
        <v>21000</v>
      </c>
      <c r="C29" s="2">
        <v>9</v>
      </c>
      <c r="D29" s="72">
        <v>4390</v>
      </c>
      <c r="E29" s="69">
        <v>5</v>
      </c>
    </row>
    <row r="30" ht="15.6" spans="1:5">
      <c r="A30" s="69">
        <v>29</v>
      </c>
      <c r="B30" s="70">
        <v>22000</v>
      </c>
      <c r="C30" s="2">
        <v>9</v>
      </c>
      <c r="D30" s="72">
        <v>4645</v>
      </c>
      <c r="E30" s="69">
        <v>5</v>
      </c>
    </row>
    <row r="31" ht="15.6" spans="1:5">
      <c r="A31" s="69">
        <v>30</v>
      </c>
      <c r="B31" s="70">
        <v>24000</v>
      </c>
      <c r="C31" s="2">
        <v>10</v>
      </c>
      <c r="D31" s="72">
        <v>4905</v>
      </c>
      <c r="E31" s="69">
        <v>6</v>
      </c>
    </row>
    <row r="32" ht="15.6" spans="1:5">
      <c r="A32" s="69">
        <v>31</v>
      </c>
      <c r="B32" s="70">
        <v>26000</v>
      </c>
      <c r="C32" s="2">
        <v>10</v>
      </c>
      <c r="D32" s="72">
        <v>5175</v>
      </c>
      <c r="E32" s="69">
        <v>6</v>
      </c>
    </row>
    <row r="33" ht="15.6" spans="1:6">
      <c r="A33" s="69">
        <v>32</v>
      </c>
      <c r="B33" s="70">
        <v>28000</v>
      </c>
      <c r="C33" s="2">
        <v>10</v>
      </c>
      <c r="D33" s="72">
        <v>5445</v>
      </c>
      <c r="E33" s="69">
        <v>6</v>
      </c>
    </row>
    <row r="34" ht="15.6" spans="1:6">
      <c r="A34" s="69">
        <v>33</v>
      </c>
      <c r="B34" s="70">
        <v>30000</v>
      </c>
      <c r="C34" s="2">
        <v>11</v>
      </c>
      <c r="D34" s="72">
        <v>5715</v>
      </c>
      <c r="E34" s="69">
        <v>6</v>
      </c>
    </row>
    <row r="35" ht="15.6" spans="1:6">
      <c r="A35" s="69">
        <v>34</v>
      </c>
      <c r="B35" s="70">
        <v>32000</v>
      </c>
      <c r="C35" s="2">
        <v>11</v>
      </c>
      <c r="D35" s="72">
        <v>6015</v>
      </c>
      <c r="E35" s="69">
        <v>6</v>
      </c>
    </row>
    <row r="36" ht="15.6" spans="1:6">
      <c r="A36" s="69">
        <v>35</v>
      </c>
      <c r="B36" s="70">
        <v>36000</v>
      </c>
      <c r="C36" s="2">
        <v>11</v>
      </c>
      <c r="D36" s="72">
        <v>6310</v>
      </c>
      <c r="E36" s="69">
        <v>6</v>
      </c>
    </row>
    <row r="37" ht="15.6" spans="1:6">
      <c r="A37" s="69">
        <v>36</v>
      </c>
      <c r="B37" s="70">
        <v>40000</v>
      </c>
      <c r="C37" s="2">
        <v>12</v>
      </c>
      <c r="D37" s="72">
        <v>6600</v>
      </c>
      <c r="E37" s="69">
        <v>6</v>
      </c>
    </row>
    <row r="38" ht="15.6" spans="1:6">
      <c r="A38" s="69">
        <v>37</v>
      </c>
      <c r="B38" s="70">
        <v>44000</v>
      </c>
      <c r="C38" s="2">
        <v>12</v>
      </c>
      <c r="D38" s="72">
        <v>6895</v>
      </c>
      <c r="E38" s="69">
        <v>6</v>
      </c>
    </row>
    <row r="39" ht="15.6" spans="1:6">
      <c r="A39" s="69">
        <v>38</v>
      </c>
      <c r="B39" s="70">
        <v>48000</v>
      </c>
      <c r="C39" s="2">
        <v>12</v>
      </c>
      <c r="D39" s="72">
        <v>7190</v>
      </c>
      <c r="E39" s="69">
        <v>6</v>
      </c>
    </row>
    <row r="40" ht="15.6" spans="1:6">
      <c r="A40" s="69">
        <v>39</v>
      </c>
      <c r="B40" s="70">
        <v>52000</v>
      </c>
      <c r="C40" s="2">
        <v>13</v>
      </c>
      <c r="D40" s="72">
        <v>7840</v>
      </c>
      <c r="E40" s="69">
        <v>6</v>
      </c>
    </row>
    <row r="41" ht="15.6" spans="1:6">
      <c r="A41" s="69">
        <v>40</v>
      </c>
      <c r="B41" s="70">
        <v>58000</v>
      </c>
      <c r="C41" s="2">
        <v>13</v>
      </c>
      <c r="D41" s="72">
        <v>7775</v>
      </c>
      <c r="E41" s="69">
        <v>7</v>
      </c>
    </row>
    <row r="42" ht="15.6" spans="1:6">
      <c r="A42" s="69">
        <v>41</v>
      </c>
      <c r="B42" s="70">
        <v>64000</v>
      </c>
      <c r="C42" s="2">
        <v>13</v>
      </c>
      <c r="D42" s="72">
        <v>8070</v>
      </c>
      <c r="E42" s="69">
        <v>7</v>
      </c>
      <c r="F42" s="6"/>
    </row>
    <row r="43" ht="15.6" spans="1:6">
      <c r="A43" s="69">
        <v>42</v>
      </c>
      <c r="B43" s="70">
        <v>70000</v>
      </c>
      <c r="C43" s="2">
        <v>14</v>
      </c>
      <c r="D43" s="72">
        <v>8365</v>
      </c>
      <c r="E43" s="69">
        <v>7</v>
      </c>
      <c r="F43" s="6"/>
    </row>
    <row r="44" ht="15.6" spans="1:6">
      <c r="A44" s="69">
        <v>43</v>
      </c>
      <c r="B44" s="70">
        <v>76000</v>
      </c>
      <c r="C44" s="2">
        <v>14</v>
      </c>
      <c r="D44" s="72">
        <v>8655</v>
      </c>
      <c r="E44" s="69">
        <v>7</v>
      </c>
    </row>
    <row r="45" ht="15.6" spans="1:6">
      <c r="A45" s="69">
        <v>44</v>
      </c>
      <c r="B45" s="70">
        <v>82000</v>
      </c>
      <c r="C45" s="2">
        <v>14</v>
      </c>
      <c r="D45" s="72">
        <v>8950</v>
      </c>
      <c r="E45" s="69">
        <v>7</v>
      </c>
    </row>
    <row r="46" ht="15.6" spans="1:6">
      <c r="A46" s="69">
        <v>45</v>
      </c>
      <c r="B46" s="70">
        <v>90000</v>
      </c>
      <c r="C46" s="2">
        <v>15</v>
      </c>
      <c r="D46" s="72">
        <v>9245</v>
      </c>
      <c r="E46" s="69">
        <v>7</v>
      </c>
    </row>
    <row r="47" ht="15.6" spans="1:6">
      <c r="A47" s="69">
        <v>46</v>
      </c>
      <c r="B47" s="70">
        <v>98000</v>
      </c>
      <c r="C47" s="2">
        <v>15</v>
      </c>
      <c r="D47" s="72">
        <v>9540</v>
      </c>
      <c r="E47" s="69">
        <v>7</v>
      </c>
    </row>
    <row r="48" ht="15.6" spans="1:6">
      <c r="A48" s="69">
        <v>47</v>
      </c>
      <c r="B48" s="70">
        <v>100000</v>
      </c>
      <c r="C48" s="2">
        <v>15</v>
      </c>
      <c r="D48" s="72">
        <v>9830</v>
      </c>
      <c r="E48" s="69">
        <v>7</v>
      </c>
    </row>
    <row r="49" ht="15.6" spans="1:5">
      <c r="A49" s="69">
        <v>48</v>
      </c>
      <c r="B49" s="70">
        <v>110000</v>
      </c>
      <c r="C49" s="2">
        <v>15</v>
      </c>
      <c r="D49" s="72">
        <v>10125</v>
      </c>
      <c r="E49" s="69">
        <v>7</v>
      </c>
    </row>
    <row r="50" ht="15.6" spans="1:5">
      <c r="A50" s="69">
        <v>49</v>
      </c>
      <c r="B50" s="70">
        <v>120000</v>
      </c>
      <c r="C50" s="2">
        <v>15</v>
      </c>
      <c r="D50" s="72">
        <v>10420</v>
      </c>
      <c r="E50" s="69">
        <v>7</v>
      </c>
    </row>
    <row r="51" ht="15.6" spans="1:5">
      <c r="A51" s="69">
        <v>50</v>
      </c>
      <c r="B51" s="70">
        <v>130000</v>
      </c>
      <c r="C51" s="2">
        <v>16</v>
      </c>
      <c r="D51" s="72">
        <v>10685</v>
      </c>
      <c r="E51" s="69">
        <v>8</v>
      </c>
    </row>
    <row r="52" ht="15.6" spans="1:5">
      <c r="A52" s="69">
        <v>51</v>
      </c>
      <c r="B52" s="70">
        <v>140000</v>
      </c>
      <c r="C52" s="2">
        <v>16</v>
      </c>
      <c r="D52" s="72">
        <v>10925</v>
      </c>
      <c r="E52" s="69">
        <v>8</v>
      </c>
    </row>
    <row r="53" ht="15.6" spans="1:5">
      <c r="A53" s="69">
        <v>52</v>
      </c>
      <c r="B53" s="70">
        <v>150000</v>
      </c>
      <c r="C53" s="2">
        <v>16</v>
      </c>
      <c r="D53" s="72">
        <v>11140</v>
      </c>
      <c r="E53" s="69">
        <v>8</v>
      </c>
    </row>
    <row r="54" ht="15.6" spans="1:5">
      <c r="A54" s="69">
        <v>53</v>
      </c>
      <c r="B54" s="70">
        <v>160000</v>
      </c>
      <c r="C54" s="2">
        <v>16</v>
      </c>
      <c r="D54" s="72">
        <v>11340</v>
      </c>
      <c r="E54" s="69">
        <v>8</v>
      </c>
    </row>
    <row r="55" ht="15.6" spans="1:5">
      <c r="A55" s="69">
        <v>54</v>
      </c>
      <c r="B55" s="70">
        <v>170000</v>
      </c>
      <c r="C55" s="2">
        <v>16</v>
      </c>
      <c r="D55" s="72">
        <v>11525</v>
      </c>
      <c r="E55" s="69">
        <v>8</v>
      </c>
    </row>
    <row r="56" ht="15.6" spans="1:5">
      <c r="A56" s="69">
        <v>55</v>
      </c>
      <c r="B56" s="70">
        <v>190000</v>
      </c>
      <c r="C56" s="2">
        <v>17</v>
      </c>
      <c r="D56" s="72">
        <v>11700</v>
      </c>
      <c r="E56" s="69">
        <v>8</v>
      </c>
    </row>
    <row r="57" ht="15.6" spans="1:5">
      <c r="A57" s="69">
        <v>56</v>
      </c>
      <c r="B57" s="70">
        <v>210000</v>
      </c>
      <c r="C57" s="2">
        <v>17</v>
      </c>
      <c r="D57" s="72">
        <v>11860</v>
      </c>
      <c r="E57" s="69">
        <v>8</v>
      </c>
    </row>
    <row r="58" ht="15.6" spans="1:5">
      <c r="A58" s="69">
        <v>57</v>
      </c>
      <c r="B58" s="70">
        <v>230000</v>
      </c>
      <c r="C58" s="2">
        <v>17</v>
      </c>
      <c r="D58" s="72">
        <v>12010</v>
      </c>
      <c r="E58" s="69">
        <v>8</v>
      </c>
    </row>
    <row r="59" ht="15.6" spans="1:5">
      <c r="A59" s="69">
        <v>58</v>
      </c>
      <c r="B59" s="70">
        <v>250000</v>
      </c>
      <c r="C59" s="2">
        <v>17</v>
      </c>
      <c r="D59" s="72">
        <v>12140</v>
      </c>
      <c r="E59" s="69">
        <v>8</v>
      </c>
    </row>
    <row r="60" ht="15.6" spans="1:5">
      <c r="A60" s="69">
        <v>59</v>
      </c>
      <c r="B60" s="70">
        <v>270000</v>
      </c>
      <c r="C60" s="2">
        <v>17</v>
      </c>
      <c r="D60" s="72">
        <v>12260</v>
      </c>
      <c r="E60" s="69">
        <v>8</v>
      </c>
    </row>
    <row r="61" ht="15.6" spans="1:5">
      <c r="A61" s="69">
        <v>60</v>
      </c>
      <c r="B61" s="70">
        <v>300000</v>
      </c>
      <c r="C61" s="2">
        <v>18</v>
      </c>
      <c r="D61" s="72">
        <v>12370</v>
      </c>
      <c r="E61" s="69">
        <v>9</v>
      </c>
    </row>
    <row r="62" ht="15.6" spans="1:5">
      <c r="A62" s="69">
        <v>61</v>
      </c>
      <c r="B62" s="70">
        <v>330000</v>
      </c>
      <c r="C62" s="2">
        <v>18</v>
      </c>
      <c r="D62" s="72">
        <v>12470</v>
      </c>
      <c r="E62" s="69">
        <v>9</v>
      </c>
    </row>
    <row r="63" ht="15.6" spans="1:5">
      <c r="A63" s="69">
        <v>62</v>
      </c>
      <c r="B63" s="70">
        <v>360000</v>
      </c>
      <c r="C63" s="2">
        <v>18</v>
      </c>
      <c r="D63" s="72">
        <v>12560</v>
      </c>
      <c r="E63" s="69">
        <v>9</v>
      </c>
    </row>
    <row r="64" ht="15.6" spans="1:5">
      <c r="A64" s="69">
        <v>63</v>
      </c>
      <c r="B64" s="70">
        <v>390000</v>
      </c>
      <c r="C64" s="2">
        <v>18</v>
      </c>
      <c r="D64" s="72">
        <v>12650</v>
      </c>
      <c r="E64" s="69">
        <v>9</v>
      </c>
    </row>
    <row r="65" ht="15.6" spans="1:5">
      <c r="A65" s="69">
        <v>64</v>
      </c>
      <c r="B65" s="70">
        <v>420000</v>
      </c>
      <c r="C65" s="2">
        <v>18</v>
      </c>
      <c r="D65" s="72">
        <v>12730</v>
      </c>
      <c r="E65" s="69">
        <v>9</v>
      </c>
    </row>
    <row r="66" ht="15.6" spans="1:5">
      <c r="A66" s="69">
        <v>65</v>
      </c>
      <c r="B66" s="70">
        <v>470000</v>
      </c>
      <c r="C66" s="2">
        <v>19</v>
      </c>
      <c r="D66" s="72">
        <v>12800</v>
      </c>
      <c r="E66" s="69">
        <v>9</v>
      </c>
    </row>
    <row r="67" ht="15.6" spans="1:5">
      <c r="A67" s="69">
        <v>66</v>
      </c>
      <c r="B67" s="70">
        <v>520000</v>
      </c>
      <c r="C67" s="2">
        <v>19</v>
      </c>
      <c r="D67" s="72">
        <v>12870</v>
      </c>
      <c r="E67" s="69">
        <v>9</v>
      </c>
    </row>
    <row r="68" ht="15.6" spans="1:5">
      <c r="A68" s="69">
        <v>67</v>
      </c>
      <c r="B68" s="70">
        <v>570000</v>
      </c>
      <c r="C68" s="2">
        <v>19</v>
      </c>
      <c r="D68" s="72">
        <v>12930</v>
      </c>
      <c r="E68" s="69">
        <v>9</v>
      </c>
    </row>
    <row r="69" ht="15.6" spans="1:5">
      <c r="A69" s="69">
        <v>68</v>
      </c>
      <c r="B69" s="70">
        <v>620000</v>
      </c>
      <c r="C69" s="2">
        <v>19</v>
      </c>
      <c r="D69" s="72">
        <v>12980</v>
      </c>
      <c r="E69" s="69">
        <v>9</v>
      </c>
    </row>
    <row r="70" ht="15.6" spans="1:5">
      <c r="A70" s="69">
        <v>69</v>
      </c>
      <c r="B70" s="70">
        <v>670000</v>
      </c>
      <c r="C70" s="2">
        <v>19</v>
      </c>
      <c r="D70" s="72">
        <v>13030</v>
      </c>
      <c r="E70" s="69">
        <v>9</v>
      </c>
    </row>
    <row r="71" ht="15.6" spans="1:5">
      <c r="A71" s="69">
        <v>70</v>
      </c>
      <c r="B71" s="70">
        <v>770000</v>
      </c>
      <c r="C71" s="2">
        <v>20</v>
      </c>
      <c r="D71" s="72">
        <v>13070</v>
      </c>
      <c r="E71" s="69">
        <v>10</v>
      </c>
    </row>
    <row r="72" ht="15.6" spans="1:5">
      <c r="A72" s="69">
        <v>71</v>
      </c>
      <c r="B72" s="70">
        <v>870000</v>
      </c>
      <c r="C72" s="2">
        <v>21</v>
      </c>
      <c r="D72" s="72">
        <v>13110</v>
      </c>
      <c r="E72" s="69">
        <v>10</v>
      </c>
    </row>
    <row r="73" ht="15.6" spans="1:5">
      <c r="A73" s="69">
        <v>72</v>
      </c>
      <c r="B73" s="70">
        <v>970000</v>
      </c>
      <c r="C73" s="2">
        <v>22</v>
      </c>
      <c r="D73" s="72">
        <v>13150</v>
      </c>
      <c r="E73" s="69">
        <v>10</v>
      </c>
    </row>
    <row r="74" ht="15.6" spans="1:5">
      <c r="A74" s="69">
        <v>73</v>
      </c>
      <c r="B74" s="70">
        <v>1000000</v>
      </c>
      <c r="C74" s="2">
        <v>23</v>
      </c>
      <c r="D74" s="72">
        <v>13190</v>
      </c>
      <c r="E74" s="69">
        <v>10</v>
      </c>
    </row>
    <row r="75" ht="15.6" spans="1:5">
      <c r="A75" s="69">
        <v>74</v>
      </c>
      <c r="B75" s="70">
        <v>1100000</v>
      </c>
      <c r="C75" s="2">
        <v>24</v>
      </c>
      <c r="D75" s="72">
        <v>13230</v>
      </c>
      <c r="E75" s="69">
        <v>10</v>
      </c>
    </row>
    <row r="76" ht="15.6" spans="1:5">
      <c r="A76" s="69">
        <v>75</v>
      </c>
      <c r="B76" s="70">
        <v>1300000</v>
      </c>
      <c r="C76" s="2">
        <v>25</v>
      </c>
      <c r="D76" s="72">
        <v>13270</v>
      </c>
      <c r="E76" s="69">
        <v>10</v>
      </c>
    </row>
    <row r="77" ht="15.6" spans="1:5">
      <c r="A77" s="69">
        <v>76</v>
      </c>
      <c r="B77" s="70">
        <v>1500000</v>
      </c>
      <c r="C77" s="2">
        <v>26</v>
      </c>
      <c r="D77" s="72">
        <v>13310</v>
      </c>
      <c r="E77" s="69">
        <v>10</v>
      </c>
    </row>
    <row r="78" ht="15.6" spans="1:5">
      <c r="A78" s="69">
        <v>77</v>
      </c>
      <c r="B78" s="70">
        <v>1700000</v>
      </c>
      <c r="C78" s="2">
        <v>27</v>
      </c>
      <c r="D78" s="72">
        <v>13350</v>
      </c>
      <c r="E78" s="69">
        <v>10</v>
      </c>
    </row>
    <row r="79" ht="15.6" spans="1:5">
      <c r="A79" s="69">
        <v>78</v>
      </c>
      <c r="B79" s="70">
        <v>1900000</v>
      </c>
      <c r="C79" s="2">
        <v>28</v>
      </c>
      <c r="D79" s="72">
        <v>13390</v>
      </c>
      <c r="E79" s="69">
        <v>10</v>
      </c>
    </row>
    <row r="80" ht="15.6" spans="1:5">
      <c r="A80" s="69">
        <v>79</v>
      </c>
      <c r="B80" s="70">
        <v>2100000</v>
      </c>
      <c r="C80" s="2">
        <v>29</v>
      </c>
      <c r="D80" s="72">
        <v>13430</v>
      </c>
      <c r="E80" s="69">
        <v>10</v>
      </c>
    </row>
    <row r="81" ht="15.6" spans="1:5">
      <c r="A81" s="69">
        <v>80</v>
      </c>
      <c r="B81" s="70">
        <v>2400000</v>
      </c>
      <c r="C81" s="2">
        <v>30</v>
      </c>
      <c r="D81" s="72">
        <v>13470</v>
      </c>
      <c r="E81" s="69">
        <v>10</v>
      </c>
    </row>
    <row r="82" spans="1:5">
      <c r="A82" s="6"/>
      <c r="B82" s="52"/>
    </row>
    <row r="83" spans="1:5">
      <c r="B83" s="52"/>
    </row>
    <row r="84" spans="1:5">
      <c r="B84" s="52"/>
    </row>
    <row r="85" spans="1:5">
      <c r="B85" s="52"/>
    </row>
    <row r="86" spans="1:5">
      <c r="B86" s="52"/>
    </row>
    <row r="87" spans="1:5">
      <c r="B87" s="52"/>
    </row>
    <row r="88" spans="1:5">
      <c r="B88" s="52"/>
    </row>
    <row r="89" spans="1:5">
      <c r="B89" s="52"/>
    </row>
    <row r="90" spans="1:5">
      <c r="B90" s="52"/>
    </row>
    <row r="91" spans="1:5">
      <c r="B91" s="52"/>
    </row>
    <row r="92" spans="1:5">
      <c r="B92" s="52"/>
    </row>
    <row r="93" spans="1:5">
      <c r="B93" s="52"/>
    </row>
    <row r="94" spans="1:5">
      <c r="B94" s="52"/>
    </row>
    <row r="95" spans="1:5">
      <c r="B95" s="52"/>
    </row>
    <row r="96" spans="1:5">
      <c r="B96" s="52"/>
    </row>
    <row r="97" spans="2:2">
      <c r="B97" s="52"/>
    </row>
    <row r="98" spans="2:2">
      <c r="B98" s="52"/>
    </row>
    <row r="99" spans="2:2">
      <c r="B99" s="52"/>
    </row>
    <row r="100" spans="2:2">
      <c r="B100" s="52"/>
    </row>
    <row r="101" spans="2:2">
      <c r="B101" s="52"/>
    </row>
    <row r="102" spans="2:2">
      <c r="B102" s="52"/>
    </row>
    <row r="103" spans="2:2">
      <c r="B103" s="52"/>
    </row>
    <row r="104" spans="2:2">
      <c r="B104" s="52"/>
    </row>
    <row r="105" spans="2:2">
      <c r="B105" s="52"/>
    </row>
    <row r="106" spans="2:2">
      <c r="B106" s="52"/>
    </row>
    <row r="107" spans="2:2">
      <c r="B107" s="52"/>
    </row>
    <row r="108" spans="2:2">
      <c r="B108" s="52"/>
    </row>
    <row r="109" spans="2:2">
      <c r="B109" s="52"/>
    </row>
    <row r="110" spans="2:2">
      <c r="B110" s="52"/>
    </row>
    <row r="111" spans="2:2">
      <c r="B111" s="52"/>
    </row>
    <row r="112" spans="2:2">
      <c r="B112" s="52"/>
    </row>
    <row r="113" spans="2:2">
      <c r="B113" s="52"/>
    </row>
    <row r="114" spans="2:2">
      <c r="B114" s="52"/>
    </row>
    <row r="115" spans="2:2">
      <c r="B115" s="52"/>
    </row>
    <row r="116" spans="2:2">
      <c r="B116" s="52"/>
    </row>
    <row r="117" spans="2:2">
      <c r="B117" s="52"/>
    </row>
    <row r="118" spans="2:2">
      <c r="B118" s="52"/>
    </row>
    <row r="119" spans="2:2">
      <c r="B119" s="52"/>
    </row>
    <row r="120" spans="2:2">
      <c r="B120" s="52"/>
    </row>
    <row r="121" spans="2:2">
      <c r="B121" s="52"/>
    </row>
    <row r="122" spans="2:2">
      <c r="B122" s="52"/>
    </row>
    <row r="123" spans="2:2">
      <c r="B123" s="52"/>
    </row>
    <row r="124" spans="2:2">
      <c r="B124" s="52"/>
    </row>
    <row r="125" spans="2:2">
      <c r="B125" s="52"/>
    </row>
    <row r="126" spans="2:2">
      <c r="B126" s="52"/>
    </row>
    <row r="127" spans="2:2">
      <c r="B127" s="52"/>
    </row>
    <row r="128" spans="2:2">
      <c r="B128" s="52"/>
    </row>
    <row r="129" spans="2:2">
      <c r="B129" s="52"/>
    </row>
    <row r="130" spans="2:2">
      <c r="B130" s="52"/>
    </row>
    <row r="131" spans="2:2">
      <c r="B131" s="52"/>
    </row>
    <row r="132" spans="2:2">
      <c r="B132" s="52"/>
    </row>
    <row r="133" spans="2:2">
      <c r="B133" s="52"/>
    </row>
    <row r="134" spans="2:2">
      <c r="B134" s="52"/>
    </row>
    <row r="135" spans="2:2">
      <c r="B135" s="52"/>
    </row>
    <row r="136" spans="2:2">
      <c r="B136" s="52"/>
    </row>
    <row r="137" spans="2:2">
      <c r="B137" s="52"/>
    </row>
    <row r="138" spans="2:2">
      <c r="B138" s="52"/>
    </row>
    <row r="139" spans="2:2">
      <c r="B139" s="52"/>
    </row>
    <row r="140" spans="2:2">
      <c r="B140" s="52"/>
    </row>
    <row r="141" spans="2:2">
      <c r="B141" s="52"/>
    </row>
    <row r="142" spans="2:2">
      <c r="B142" s="52"/>
    </row>
    <row r="143" spans="2:2">
      <c r="B143" s="52"/>
    </row>
    <row r="144" spans="2:2">
      <c r="B144" s="52"/>
    </row>
    <row r="145" spans="2:2">
      <c r="B145" s="52"/>
    </row>
    <row r="146" spans="2:2">
      <c r="B146" s="52"/>
    </row>
    <row r="147" spans="2:2">
      <c r="B147" s="52"/>
    </row>
    <row r="148" spans="2:2">
      <c r="B148" s="52"/>
    </row>
    <row r="149" spans="2:2">
      <c r="B149" s="52"/>
    </row>
    <row r="150" spans="2:2">
      <c r="B150" s="52"/>
    </row>
    <row r="151" spans="2:2">
      <c r="B151" s="52"/>
    </row>
    <row r="152" spans="2:2">
      <c r="B152" s="52"/>
    </row>
    <row r="153" spans="2:2">
      <c r="B153" s="52"/>
    </row>
    <row r="154" spans="2:2">
      <c r="B154" s="52"/>
    </row>
    <row r="155" spans="2:2">
      <c r="B155" s="52"/>
    </row>
    <row r="156" spans="2:2">
      <c r="B156" s="52"/>
    </row>
    <row r="157" spans="2:2">
      <c r="B157" s="52"/>
    </row>
    <row r="158" spans="2:2">
      <c r="B158" s="52"/>
    </row>
    <row r="159" spans="2:2">
      <c r="B159" s="52"/>
    </row>
    <row r="160" spans="2:2">
      <c r="B160" s="52"/>
    </row>
    <row r="161" spans="2:2">
      <c r="B161" s="52"/>
    </row>
    <row r="162" spans="2:2">
      <c r="B162" s="52"/>
    </row>
    <row r="163" spans="2:2">
      <c r="B163" s="52"/>
    </row>
    <row r="164" spans="2:2">
      <c r="B164" s="52"/>
    </row>
    <row r="165" spans="2:2">
      <c r="B165" s="52"/>
    </row>
    <row r="166" spans="2:2">
      <c r="B166" s="52"/>
    </row>
    <row r="167" spans="2:2">
      <c r="B167" s="52"/>
    </row>
    <row r="168" spans="2:2">
      <c r="B168" s="52"/>
    </row>
    <row r="169" spans="2:2">
      <c r="B169" s="52"/>
    </row>
    <row r="170" spans="2:2">
      <c r="B170" s="52"/>
    </row>
    <row r="171" spans="2:2">
      <c r="B171" s="52"/>
    </row>
    <row r="172" spans="2:2">
      <c r="B172" s="52"/>
    </row>
    <row r="173" spans="2:2">
      <c r="B173" s="52"/>
    </row>
    <row r="174" spans="2:2">
      <c r="B174" s="52"/>
    </row>
    <row r="175" spans="2:2">
      <c r="B175" s="52"/>
    </row>
    <row r="176" spans="2:2">
      <c r="B176" s="52"/>
    </row>
    <row r="177" spans="2:2">
      <c r="B177" s="52"/>
    </row>
    <row r="178" spans="2:2">
      <c r="B178" s="52"/>
    </row>
    <row r="179" spans="2:2">
      <c r="B179" s="52"/>
    </row>
    <row r="180" spans="2:2">
      <c r="B180" s="52"/>
    </row>
    <row r="181" spans="2:2">
      <c r="B181" s="52"/>
    </row>
    <row r="182" spans="2:2">
      <c r="B182" s="52"/>
    </row>
    <row r="183" spans="2:2">
      <c r="B183" s="52"/>
    </row>
    <row r="184" spans="2:2">
      <c r="B184" s="52"/>
    </row>
    <row r="185" spans="2:2">
      <c r="B185" s="52"/>
    </row>
    <row r="186" spans="2:2">
      <c r="B186" s="52"/>
    </row>
    <row r="187" spans="2:2">
      <c r="B187" s="52"/>
    </row>
    <row r="188" spans="2:2">
      <c r="B188" s="52"/>
    </row>
    <row r="189" spans="2:2">
      <c r="B189" s="52"/>
    </row>
    <row r="190" spans="2:2">
      <c r="B190" s="52"/>
    </row>
    <row r="191" spans="2:2">
      <c r="B191" s="52"/>
    </row>
    <row r="192" spans="2:2">
      <c r="B192" s="52"/>
    </row>
    <row r="193" spans="2:2">
      <c r="B193" s="52"/>
    </row>
    <row r="194" spans="2:2">
      <c r="B194" s="52"/>
    </row>
    <row r="195" spans="2:2">
      <c r="B195" s="52"/>
    </row>
    <row r="196" spans="2:2">
      <c r="B196" s="52"/>
    </row>
    <row r="197" spans="2:2">
      <c r="B197" s="52"/>
    </row>
    <row r="198" spans="2:2">
      <c r="B198" s="52"/>
    </row>
    <row r="199" spans="2:2">
      <c r="B199" s="52"/>
    </row>
    <row r="200" spans="2:2">
      <c r="B200" s="52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C2"/>
  <sheetViews>
    <sheetView workbookViewId="0">
      <selection activeCell="A1" sqref="A1"/>
    </sheetView>
  </sheetViews>
  <sheetFormatPr defaultColWidth="14" defaultRowHeight="15.2" outlineLevelRow="1" outlineLevelCol="2"/>
  <cols>
    <col min="1" max="1" width="17" customWidth="1"/>
    <col min="2" max="2" width="21" customWidth="1"/>
    <col min="3" max="3" width="18" customWidth="1"/>
  </cols>
  <sheetData>
    <row r="1" spans="1:3">
      <c r="A1" s="66" t="s">
        <v>20</v>
      </c>
      <c r="B1" s="66" t="s">
        <v>21</v>
      </c>
      <c r="C1" s="66" t="s">
        <v>22</v>
      </c>
    </row>
    <row r="2" spans="1:3">
      <c r="A2" s="67" t="s">
        <v>23</v>
      </c>
      <c r="B2" s="68" t="s">
        <v>24</v>
      </c>
      <c r="C2" s="68" t="s">
        <v>25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J11"/>
  <sheetViews>
    <sheetView workbookViewId="0">
      <selection activeCell="A1" sqref="A1"/>
    </sheetView>
  </sheetViews>
  <sheetFormatPr defaultColWidth="14" defaultRowHeight="15.2"/>
  <cols>
    <col min="1" max="5" width="14" customWidth="1"/>
    <col min="7" max="7" width="14" customWidth="1"/>
  </cols>
  <sheetData>
    <row r="1" ht="15.6" spans="1:10">
      <c r="A1" s="1" t="s">
        <v>15</v>
      </c>
      <c r="B1" s="1" t="s">
        <v>26</v>
      </c>
      <c r="C1" s="2" t="s">
        <v>27</v>
      </c>
      <c r="D1" s="2" t="s">
        <v>28</v>
      </c>
      <c r="E1" s="2" t="s">
        <v>29</v>
      </c>
      <c r="F1" s="2" t="s">
        <v>30</v>
      </c>
      <c r="G1" s="2" t="s">
        <v>31</v>
      </c>
      <c r="H1" s="2" t="s">
        <v>32</v>
      </c>
      <c r="I1" s="2" t="s">
        <v>33</v>
      </c>
      <c r="J1" s="65" t="s">
        <v>34</v>
      </c>
    </row>
    <row r="2" ht="15.6" spans="1:10">
      <c r="A2" s="1">
        <v>1</v>
      </c>
      <c r="B2" s="1">
        <v>2000</v>
      </c>
      <c r="C2" s="2">
        <v>320</v>
      </c>
      <c r="D2" s="2">
        <v>0.5</v>
      </c>
      <c r="E2" s="2">
        <v>1.5</v>
      </c>
      <c r="F2" s="2">
        <v>2</v>
      </c>
      <c r="G2" s="2">
        <v>100</v>
      </c>
      <c r="H2" s="2">
        <v>120</v>
      </c>
      <c r="I2" s="2">
        <f t="shared" ref="I2:I11" si="0">C2*((1+D2*(E2-1)))*(1-(H2/(H2+$J$2)))*F2</f>
        <v>114.285714285714</v>
      </c>
      <c r="J2" s="2">
        <v>20</v>
      </c>
    </row>
    <row r="3" ht="15.6" spans="1:10">
      <c r="A3" s="1">
        <v>2</v>
      </c>
      <c r="B3" s="1">
        <v>2000</v>
      </c>
      <c r="C3" s="2">
        <v>400</v>
      </c>
      <c r="D3" s="2">
        <v>0.5</v>
      </c>
      <c r="E3" s="2">
        <v>1.5</v>
      </c>
      <c r="F3" s="2">
        <v>2</v>
      </c>
      <c r="G3" s="2">
        <v>100</v>
      </c>
      <c r="H3" s="2">
        <v>120</v>
      </c>
      <c r="I3" s="2">
        <f t="shared" si="0"/>
        <v>142.857142857143</v>
      </c>
    </row>
    <row r="4" ht="15.6" spans="1:10">
      <c r="A4" s="1">
        <v>3</v>
      </c>
      <c r="B4" s="1">
        <v>2000</v>
      </c>
      <c r="C4" s="2">
        <v>480</v>
      </c>
      <c r="D4" s="2">
        <v>0.5</v>
      </c>
      <c r="E4" s="2">
        <v>1.5</v>
      </c>
      <c r="F4" s="2">
        <v>2</v>
      </c>
      <c r="G4" s="2">
        <v>100</v>
      </c>
      <c r="H4" s="2">
        <v>120</v>
      </c>
      <c r="I4" s="2">
        <f t="shared" si="0"/>
        <v>171.428571428571</v>
      </c>
    </row>
    <row r="5" ht="15.6" spans="1:10">
      <c r="A5" s="1">
        <v>4</v>
      </c>
      <c r="B5" s="1">
        <v>2000</v>
      </c>
      <c r="C5" s="2">
        <v>560</v>
      </c>
      <c r="D5" s="2">
        <v>0.5</v>
      </c>
      <c r="E5" s="2">
        <v>1.5</v>
      </c>
      <c r="F5" s="2">
        <v>2</v>
      </c>
      <c r="G5" s="2">
        <v>100</v>
      </c>
      <c r="H5" s="2">
        <v>120</v>
      </c>
      <c r="I5" s="2">
        <f t="shared" si="0"/>
        <v>200</v>
      </c>
    </row>
    <row r="6" ht="15.6" spans="1:10">
      <c r="A6" s="1">
        <v>5</v>
      </c>
      <c r="B6" s="1">
        <v>2000</v>
      </c>
      <c r="C6" s="2">
        <v>640</v>
      </c>
      <c r="D6" s="2">
        <v>0.5</v>
      </c>
      <c r="E6" s="2">
        <v>1.5</v>
      </c>
      <c r="F6" s="2">
        <v>2</v>
      </c>
      <c r="G6" s="2">
        <v>100</v>
      </c>
      <c r="H6" s="2">
        <v>120</v>
      </c>
      <c r="I6" s="2">
        <f t="shared" si="0"/>
        <v>228.571428571429</v>
      </c>
    </row>
    <row r="7" ht="15.6" spans="1:10">
      <c r="A7" s="1">
        <v>6</v>
      </c>
      <c r="B7" s="1">
        <v>2000</v>
      </c>
      <c r="C7" s="2">
        <v>720</v>
      </c>
      <c r="D7" s="2">
        <v>0.5</v>
      </c>
      <c r="E7" s="2">
        <v>1.5</v>
      </c>
      <c r="F7" s="2">
        <v>2</v>
      </c>
      <c r="G7" s="2">
        <v>100</v>
      </c>
      <c r="H7" s="2">
        <v>120</v>
      </c>
      <c r="I7" s="2">
        <f t="shared" si="0"/>
        <v>257.142857142857</v>
      </c>
    </row>
    <row r="8" ht="15.6" spans="1:10">
      <c r="A8" s="1">
        <v>7</v>
      </c>
      <c r="B8" s="1">
        <v>2000</v>
      </c>
      <c r="C8" s="2">
        <v>800</v>
      </c>
      <c r="D8" s="2">
        <v>0.5</v>
      </c>
      <c r="E8" s="2">
        <v>1.5</v>
      </c>
      <c r="F8" s="2">
        <v>2</v>
      </c>
      <c r="G8" s="2">
        <v>100</v>
      </c>
      <c r="H8" s="2">
        <v>120</v>
      </c>
      <c r="I8" s="2">
        <f t="shared" si="0"/>
        <v>285.714285714286</v>
      </c>
    </row>
    <row r="9" ht="15.6" spans="1:10">
      <c r="A9" s="1">
        <v>8</v>
      </c>
      <c r="B9" s="1">
        <v>2000</v>
      </c>
      <c r="C9" s="2">
        <v>880</v>
      </c>
      <c r="D9" s="2">
        <v>0.5</v>
      </c>
      <c r="E9" s="2">
        <v>1.5</v>
      </c>
      <c r="F9" s="2">
        <v>2</v>
      </c>
      <c r="G9" s="2">
        <v>100</v>
      </c>
      <c r="H9" s="2">
        <v>120</v>
      </c>
      <c r="I9" s="2">
        <f t="shared" si="0"/>
        <v>314.285714285714</v>
      </c>
    </row>
    <row r="10" ht="15.6" spans="1:10">
      <c r="A10" s="1">
        <v>9</v>
      </c>
      <c r="B10" s="1">
        <v>2000</v>
      </c>
      <c r="C10" s="2">
        <v>960</v>
      </c>
      <c r="D10" s="2">
        <v>0.5</v>
      </c>
      <c r="E10" s="2">
        <v>1.5</v>
      </c>
      <c r="F10" s="2">
        <v>2</v>
      </c>
      <c r="G10" s="2">
        <v>100</v>
      </c>
      <c r="H10" s="2">
        <v>120</v>
      </c>
      <c r="I10" s="2">
        <f t="shared" si="0"/>
        <v>342.857142857143</v>
      </c>
    </row>
    <row r="11" ht="15.6" spans="1:10">
      <c r="A11" s="1">
        <v>10</v>
      </c>
      <c r="B11" s="1">
        <v>2000</v>
      </c>
      <c r="C11" s="2">
        <v>1040</v>
      </c>
      <c r="D11" s="2">
        <v>0.5</v>
      </c>
      <c r="E11" s="2">
        <v>1.5</v>
      </c>
      <c r="F11" s="2">
        <v>2</v>
      </c>
      <c r="G11" s="2">
        <v>100</v>
      </c>
      <c r="H11" s="2">
        <v>120</v>
      </c>
      <c r="I11" s="2">
        <f t="shared" si="0"/>
        <v>371.428571428572</v>
      </c>
    </row>
  </sheetData>
  <pageMargins left="0.75" right="0.75" top="1" bottom="1" header="0.5" footer="0.5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M1486"/>
  <sheetViews>
    <sheetView workbookViewId="0">
      <selection activeCell="N17" sqref="N17"/>
    </sheetView>
  </sheetViews>
  <sheetFormatPr defaultColWidth="14" defaultRowHeight="15.2"/>
  <cols>
    <col min="1" max="8" width="14" customWidth="1"/>
    <col min="12" max="17" width="14" customWidth="1"/>
  </cols>
  <sheetData>
    <row r="1" ht="15.6" spans="1:13">
      <c r="A1" s="48" t="s">
        <v>35</v>
      </c>
      <c r="B1" s="48" t="s">
        <v>36</v>
      </c>
      <c r="C1" s="48" t="s">
        <v>37</v>
      </c>
      <c r="D1" s="48" t="s">
        <v>38</v>
      </c>
      <c r="E1" s="48" t="s">
        <v>39</v>
      </c>
      <c r="F1" s="48" t="s">
        <v>27</v>
      </c>
      <c r="G1" s="48" t="s">
        <v>40</v>
      </c>
      <c r="H1" s="48" t="s">
        <v>26</v>
      </c>
      <c r="I1" s="49" t="s">
        <v>28</v>
      </c>
      <c r="J1" s="49" t="s">
        <v>29</v>
      </c>
      <c r="K1" s="49" t="s">
        <v>30</v>
      </c>
      <c r="L1" s="49" t="s">
        <v>41</v>
      </c>
    </row>
    <row r="2" ht="20" customHeight="1" spans="1:13">
      <c r="A2" s="50" t="s">
        <v>42</v>
      </c>
      <c r="B2" s="50" t="s">
        <v>43</v>
      </c>
      <c r="C2" s="50" t="s">
        <v>44</v>
      </c>
      <c r="D2" s="50" t="s">
        <v>45</v>
      </c>
      <c r="E2" s="50" t="s">
        <v>39</v>
      </c>
      <c r="F2" s="50" t="s">
        <v>46</v>
      </c>
      <c r="G2" s="50" t="s">
        <v>47</v>
      </c>
      <c r="H2" s="50" t="s">
        <v>48</v>
      </c>
      <c r="I2" s="51" t="s">
        <v>49</v>
      </c>
      <c r="J2" s="51" t="s">
        <v>50</v>
      </c>
      <c r="K2" s="51" t="s">
        <v>51</v>
      </c>
      <c r="L2" s="51" t="s">
        <v>52</v>
      </c>
    </row>
    <row r="3" ht="20" customHeight="1" spans="1:13">
      <c r="A3" s="50" t="s">
        <v>53</v>
      </c>
      <c r="B3" s="50" t="s">
        <v>54</v>
      </c>
      <c r="C3" s="50" t="s">
        <v>54</v>
      </c>
      <c r="D3" s="50" t="s">
        <v>54</v>
      </c>
      <c r="E3" s="50" t="s">
        <v>55</v>
      </c>
      <c r="F3" s="50" t="s">
        <v>55</v>
      </c>
      <c r="G3" s="50" t="s">
        <v>55</v>
      </c>
      <c r="H3" s="50" t="s">
        <v>55</v>
      </c>
      <c r="I3" s="51" t="s">
        <v>56</v>
      </c>
      <c r="J3" s="51" t="s">
        <v>55</v>
      </c>
      <c r="K3" s="51" t="s">
        <v>55</v>
      </c>
      <c r="L3" s="51" t="s">
        <v>56</v>
      </c>
    </row>
    <row r="4" ht="15.6" spans="1:13">
      <c r="A4" s="51">
        <v>1</v>
      </c>
      <c r="B4" s="50" t="s">
        <v>57</v>
      </c>
      <c r="C4" s="50" t="s">
        <v>20</v>
      </c>
      <c r="D4" s="50" t="s">
        <v>58</v>
      </c>
      <c r="E4" s="50">
        <v>1</v>
      </c>
      <c r="F4" s="50">
        <f>[1]标准人!B2*1.8</f>
        <v>180</v>
      </c>
      <c r="G4" s="50">
        <f>[1]标准人!C2*1.45</f>
        <v>725</v>
      </c>
      <c r="H4" s="50">
        <f>[1]标准人!D2*0.86</f>
        <v>1720</v>
      </c>
      <c r="I4" s="51">
        <v>0.4</v>
      </c>
      <c r="J4" s="51">
        <v>2</v>
      </c>
      <c r="K4" s="51">
        <v>1</v>
      </c>
      <c r="L4" s="52">
        <f t="shared" ref="L4:L67" si="0">IF(D4="SNIP",((F4*0.4+G4*0.01+H4*1)*10.3),IF(D4="DPS",(F4*0.17+G4*0.05+H4*0.2)*30,(F4*0.1+G4*0.2+H4*1)*10/2.1))</f>
        <v>18532.275</v>
      </c>
      <c r="M4" s="51"/>
    </row>
    <row r="5" ht="15.6" spans="1:13">
      <c r="A5" s="51">
        <v>1</v>
      </c>
      <c r="B5" s="50" t="s">
        <v>57</v>
      </c>
      <c r="C5" s="50" t="s">
        <v>20</v>
      </c>
      <c r="D5" s="50" t="s">
        <v>58</v>
      </c>
      <c r="E5" s="50">
        <v>2</v>
      </c>
      <c r="F5" s="50">
        <f>[1]标准人!B3*1.8</f>
        <v>252</v>
      </c>
      <c r="G5" s="50">
        <f>[1]标准人!C3*1.45</f>
        <v>740.979</v>
      </c>
      <c r="H5" s="50">
        <f>[1]标准人!D3*0.86</f>
        <v>1892</v>
      </c>
      <c r="I5" s="51">
        <v>0.4</v>
      </c>
      <c r="J5" s="51">
        <v>2</v>
      </c>
      <c r="K5" s="51">
        <v>1</v>
      </c>
      <c r="L5" s="52">
        <f t="shared" si="0"/>
        <v>20602.160837</v>
      </c>
    </row>
    <row r="6" ht="15.6" spans="1:13">
      <c r="A6" s="51">
        <v>1</v>
      </c>
      <c r="B6" s="50" t="s">
        <v>57</v>
      </c>
      <c r="C6" s="50" t="s">
        <v>20</v>
      </c>
      <c r="D6" s="50" t="s">
        <v>58</v>
      </c>
      <c r="E6" s="50">
        <v>3</v>
      </c>
      <c r="F6" s="50">
        <f>[1]标准人!B4*1.8</f>
        <v>324</v>
      </c>
      <c r="G6" s="50">
        <f>[1]标准人!C4*1.45</f>
        <v>756.958</v>
      </c>
      <c r="H6" s="50">
        <f>[1]标准人!D4*0.86</f>
        <v>2064</v>
      </c>
      <c r="I6" s="51">
        <v>0.4</v>
      </c>
      <c r="J6" s="51">
        <v>2</v>
      </c>
      <c r="K6" s="51">
        <v>1</v>
      </c>
      <c r="L6" s="52">
        <f t="shared" si="0"/>
        <v>22672.046674</v>
      </c>
    </row>
    <row r="7" ht="15.6" spans="1:13">
      <c r="A7" s="51">
        <v>1</v>
      </c>
      <c r="B7" s="50" t="s">
        <v>57</v>
      </c>
      <c r="C7" s="50" t="s">
        <v>20</v>
      </c>
      <c r="D7" s="50" t="s">
        <v>58</v>
      </c>
      <c r="E7" s="50">
        <v>4</v>
      </c>
      <c r="F7" s="50">
        <f>[1]标准人!B5*1.8</f>
        <v>396</v>
      </c>
      <c r="G7" s="50">
        <f>[1]标准人!C5*1.45</f>
        <v>772.937</v>
      </c>
      <c r="H7" s="50">
        <f>[1]标准人!D5*0.86</f>
        <v>2236</v>
      </c>
      <c r="I7" s="51">
        <v>0.4</v>
      </c>
      <c r="J7" s="51">
        <v>2</v>
      </c>
      <c r="K7" s="51">
        <v>1</v>
      </c>
      <c r="L7" s="52">
        <f t="shared" si="0"/>
        <v>24741.932511</v>
      </c>
    </row>
    <row r="8" ht="15.6" spans="1:13">
      <c r="A8" s="51">
        <v>1</v>
      </c>
      <c r="B8" s="50" t="s">
        <v>57</v>
      </c>
      <c r="C8" s="50" t="s">
        <v>20</v>
      </c>
      <c r="D8" s="50" t="s">
        <v>58</v>
      </c>
      <c r="E8" s="50">
        <v>5</v>
      </c>
      <c r="F8" s="50">
        <f>[1]标准人!B6*1.8</f>
        <v>468</v>
      </c>
      <c r="G8" s="50">
        <f>[1]标准人!C6*1.45</f>
        <v>788.916</v>
      </c>
      <c r="H8" s="50">
        <f>[1]标准人!D6*0.86</f>
        <v>2408</v>
      </c>
      <c r="I8" s="51">
        <v>0.4</v>
      </c>
      <c r="J8" s="51">
        <v>2</v>
      </c>
      <c r="K8" s="51">
        <v>1</v>
      </c>
      <c r="L8" s="52">
        <f t="shared" si="0"/>
        <v>26811.818348</v>
      </c>
    </row>
    <row r="9" ht="15.6" spans="1:13">
      <c r="A9" s="51">
        <v>1</v>
      </c>
      <c r="B9" s="50" t="s">
        <v>57</v>
      </c>
      <c r="C9" s="50" t="s">
        <v>20</v>
      </c>
      <c r="D9" s="50" t="s">
        <v>58</v>
      </c>
      <c r="E9" s="50">
        <v>6</v>
      </c>
      <c r="F9" s="50">
        <f>[1]标准人!B7*1.8</f>
        <v>540</v>
      </c>
      <c r="G9" s="50">
        <f>[1]标准人!C7*1.45</f>
        <v>804.895</v>
      </c>
      <c r="H9" s="50">
        <f>[1]标准人!D7*0.86</f>
        <v>2580</v>
      </c>
      <c r="I9" s="51">
        <v>0.4</v>
      </c>
      <c r="J9" s="51">
        <v>2</v>
      </c>
      <c r="K9" s="51">
        <v>1</v>
      </c>
      <c r="L9" s="52">
        <f t="shared" si="0"/>
        <v>28881.704185</v>
      </c>
    </row>
    <row r="10" ht="15.6" spans="1:13">
      <c r="A10" s="51">
        <v>1</v>
      </c>
      <c r="B10" s="50" t="s">
        <v>57</v>
      </c>
      <c r="C10" s="50" t="s">
        <v>20</v>
      </c>
      <c r="D10" s="50" t="s">
        <v>58</v>
      </c>
      <c r="E10" s="50">
        <v>7</v>
      </c>
      <c r="F10" s="50">
        <f>[1]标准人!B8*1.8</f>
        <v>612</v>
      </c>
      <c r="G10" s="50">
        <f>[1]标准人!C8*1.45</f>
        <v>820.874</v>
      </c>
      <c r="H10" s="50">
        <f>[1]标准人!D8*0.86</f>
        <v>2752</v>
      </c>
      <c r="I10" s="51">
        <v>0.4</v>
      </c>
      <c r="J10" s="51">
        <v>2</v>
      </c>
      <c r="K10" s="51">
        <v>1</v>
      </c>
      <c r="L10" s="52">
        <f t="shared" si="0"/>
        <v>30951.590022</v>
      </c>
    </row>
    <row r="11" ht="15.6" spans="1:13">
      <c r="A11" s="51">
        <v>1</v>
      </c>
      <c r="B11" s="50" t="s">
        <v>57</v>
      </c>
      <c r="C11" s="50" t="s">
        <v>20</v>
      </c>
      <c r="D11" s="50" t="s">
        <v>58</v>
      </c>
      <c r="E11" s="50">
        <v>8</v>
      </c>
      <c r="F11" s="50">
        <f>[1]标准人!B9*1.8</f>
        <v>684</v>
      </c>
      <c r="G11" s="50">
        <f>[1]标准人!C9*1.45</f>
        <v>836.853</v>
      </c>
      <c r="H11" s="50">
        <f>[1]标准人!D9*0.86</f>
        <v>2924</v>
      </c>
      <c r="I11" s="51">
        <v>0.4</v>
      </c>
      <c r="J11" s="51">
        <v>2</v>
      </c>
      <c r="K11" s="51">
        <v>1</v>
      </c>
      <c r="L11" s="52">
        <f t="shared" si="0"/>
        <v>33021.475859</v>
      </c>
    </row>
    <row r="12" ht="15.6" spans="1:13">
      <c r="A12" s="51">
        <v>1</v>
      </c>
      <c r="B12" s="50" t="s">
        <v>57</v>
      </c>
      <c r="C12" s="50" t="s">
        <v>20</v>
      </c>
      <c r="D12" s="50" t="s">
        <v>58</v>
      </c>
      <c r="E12" s="50">
        <v>9</v>
      </c>
      <c r="F12" s="50">
        <f>[1]标准人!B10*1.8</f>
        <v>756</v>
      </c>
      <c r="G12" s="50">
        <f>[1]标准人!C10*1.45</f>
        <v>852.832</v>
      </c>
      <c r="H12" s="50">
        <f>[1]标准人!D10*0.86</f>
        <v>3096</v>
      </c>
      <c r="I12" s="51">
        <v>0.4</v>
      </c>
      <c r="J12" s="51">
        <v>2</v>
      </c>
      <c r="K12" s="51">
        <v>1</v>
      </c>
      <c r="L12" s="52">
        <f t="shared" si="0"/>
        <v>35091.361696</v>
      </c>
    </row>
    <row r="13" ht="15.6" spans="1:13">
      <c r="A13" s="51">
        <v>1</v>
      </c>
      <c r="B13" s="50" t="s">
        <v>57</v>
      </c>
      <c r="C13" s="50" t="s">
        <v>20</v>
      </c>
      <c r="D13" s="50" t="s">
        <v>58</v>
      </c>
      <c r="E13" s="50">
        <v>10</v>
      </c>
      <c r="F13" s="50">
        <f>[1]标准人!B11*1.8</f>
        <v>828</v>
      </c>
      <c r="G13" s="50">
        <f>[1]标准人!C11*1.45</f>
        <v>868.811</v>
      </c>
      <c r="H13" s="50">
        <f>[1]标准人!D11*0.86</f>
        <v>3268</v>
      </c>
      <c r="I13" s="51">
        <v>0.4</v>
      </c>
      <c r="J13" s="51">
        <v>2</v>
      </c>
      <c r="K13" s="51">
        <v>1</v>
      </c>
      <c r="L13" s="52">
        <f t="shared" si="0"/>
        <v>37161.247533</v>
      </c>
    </row>
    <row r="14" ht="15.6" spans="1:13">
      <c r="A14" s="51">
        <v>1</v>
      </c>
      <c r="B14" s="50" t="s">
        <v>57</v>
      </c>
      <c r="C14" s="50" t="s">
        <v>20</v>
      </c>
      <c r="D14" s="50" t="s">
        <v>58</v>
      </c>
      <c r="E14" s="50">
        <v>11</v>
      </c>
      <c r="F14" s="50">
        <f>[1]标准人!B12*1.8</f>
        <v>900</v>
      </c>
      <c r="G14" s="50">
        <f>[1]标准人!C12*1.45</f>
        <v>884.79</v>
      </c>
      <c r="H14" s="50">
        <f>[1]标准人!D12*0.86</f>
        <v>3440</v>
      </c>
      <c r="I14" s="51">
        <v>0.4</v>
      </c>
      <c r="J14" s="51">
        <v>2</v>
      </c>
      <c r="K14" s="51">
        <v>1</v>
      </c>
      <c r="L14" s="52">
        <f t="shared" si="0"/>
        <v>39231.13337</v>
      </c>
    </row>
    <row r="15" ht="15.6" spans="1:13">
      <c r="A15" s="51">
        <v>1</v>
      </c>
      <c r="B15" s="50" t="s">
        <v>57</v>
      </c>
      <c r="C15" s="50" t="s">
        <v>20</v>
      </c>
      <c r="D15" s="50" t="s">
        <v>58</v>
      </c>
      <c r="E15" s="50">
        <v>12</v>
      </c>
      <c r="F15" s="50">
        <f>[1]标准人!B13*1.8</f>
        <v>972</v>
      </c>
      <c r="G15" s="50">
        <f>[1]标准人!C13*1.45</f>
        <v>900.769</v>
      </c>
      <c r="H15" s="50">
        <f>[1]标准人!D13*0.86</f>
        <v>3612</v>
      </c>
      <c r="I15" s="51">
        <v>0.4</v>
      </c>
      <c r="J15" s="51">
        <v>2</v>
      </c>
      <c r="K15" s="51">
        <v>1</v>
      </c>
      <c r="L15" s="52">
        <f t="shared" si="0"/>
        <v>41301.019207</v>
      </c>
    </row>
    <row r="16" ht="15.6" spans="1:13">
      <c r="A16" s="51">
        <v>1</v>
      </c>
      <c r="B16" s="50" t="s">
        <v>57</v>
      </c>
      <c r="C16" s="50" t="s">
        <v>20</v>
      </c>
      <c r="D16" s="50" t="s">
        <v>58</v>
      </c>
      <c r="E16" s="50">
        <v>13</v>
      </c>
      <c r="F16" s="50">
        <f>[1]标准人!B14*1.8</f>
        <v>1044</v>
      </c>
      <c r="G16" s="50">
        <f>[1]标准人!C14*1.45</f>
        <v>916.748</v>
      </c>
      <c r="H16" s="50">
        <f>[1]标准人!D14*0.86</f>
        <v>3784</v>
      </c>
      <c r="I16" s="51">
        <v>0.4</v>
      </c>
      <c r="J16" s="51">
        <v>2</v>
      </c>
      <c r="K16" s="51">
        <v>1</v>
      </c>
      <c r="L16" s="52">
        <f t="shared" si="0"/>
        <v>43370.905044</v>
      </c>
    </row>
    <row r="17" ht="15.6" spans="1:12">
      <c r="A17" s="51">
        <v>1</v>
      </c>
      <c r="B17" s="50" t="s">
        <v>57</v>
      </c>
      <c r="C17" s="50" t="s">
        <v>20</v>
      </c>
      <c r="D17" s="50" t="s">
        <v>58</v>
      </c>
      <c r="E17" s="50">
        <v>14</v>
      </c>
      <c r="F17" s="50">
        <f>[1]标准人!B15*1.8</f>
        <v>1116</v>
      </c>
      <c r="G17" s="50">
        <f>[1]标准人!C15*1.45</f>
        <v>932.727</v>
      </c>
      <c r="H17" s="50">
        <f>[1]标准人!D15*0.86</f>
        <v>3956</v>
      </c>
      <c r="I17" s="51">
        <v>0.4</v>
      </c>
      <c r="J17" s="51">
        <v>2</v>
      </c>
      <c r="K17" s="51">
        <v>1</v>
      </c>
      <c r="L17" s="52">
        <f t="shared" si="0"/>
        <v>45440.790881</v>
      </c>
    </row>
    <row r="18" ht="15.6" spans="1:12">
      <c r="A18" s="51">
        <v>1</v>
      </c>
      <c r="B18" s="50" t="s">
        <v>57</v>
      </c>
      <c r="C18" s="50" t="s">
        <v>20</v>
      </c>
      <c r="D18" s="50" t="s">
        <v>58</v>
      </c>
      <c r="E18" s="50">
        <v>15</v>
      </c>
      <c r="F18" s="50">
        <f>[1]标准人!B16*1.8</f>
        <v>1188</v>
      </c>
      <c r="G18" s="50">
        <f>[1]标准人!C16*1.45</f>
        <v>948.706</v>
      </c>
      <c r="H18" s="50">
        <f>[1]标准人!D16*0.86</f>
        <v>4128</v>
      </c>
      <c r="I18" s="51">
        <v>0.4</v>
      </c>
      <c r="J18" s="51">
        <v>2</v>
      </c>
      <c r="K18" s="51">
        <v>1</v>
      </c>
      <c r="L18" s="52">
        <f t="shared" si="0"/>
        <v>47510.676718</v>
      </c>
    </row>
    <row r="19" ht="15.6" spans="1:12">
      <c r="A19" s="51">
        <v>1</v>
      </c>
      <c r="B19" s="50" t="s">
        <v>57</v>
      </c>
      <c r="C19" s="50" t="s">
        <v>20</v>
      </c>
      <c r="D19" s="50" t="s">
        <v>58</v>
      </c>
      <c r="E19" s="50">
        <v>16</v>
      </c>
      <c r="F19" s="50">
        <f>[1]标准人!B17*1.8</f>
        <v>1260</v>
      </c>
      <c r="G19" s="50">
        <f>[1]标准人!C17*1.45</f>
        <v>964.685</v>
      </c>
      <c r="H19" s="50">
        <f>[1]标准人!D17*0.86</f>
        <v>4300</v>
      </c>
      <c r="I19" s="51">
        <v>0.4</v>
      </c>
      <c r="J19" s="51">
        <v>2</v>
      </c>
      <c r="K19" s="51">
        <v>1</v>
      </c>
      <c r="L19" s="52">
        <f t="shared" si="0"/>
        <v>49580.562555</v>
      </c>
    </row>
    <row r="20" ht="15.6" spans="1:12">
      <c r="A20" s="51">
        <v>1</v>
      </c>
      <c r="B20" s="50" t="s">
        <v>57</v>
      </c>
      <c r="C20" s="50" t="s">
        <v>20</v>
      </c>
      <c r="D20" s="50" t="s">
        <v>58</v>
      </c>
      <c r="E20" s="50">
        <v>17</v>
      </c>
      <c r="F20" s="50">
        <f>[1]标准人!B18*1.8</f>
        <v>1332</v>
      </c>
      <c r="G20" s="50">
        <f>[1]标准人!C18*1.45</f>
        <v>980.664</v>
      </c>
      <c r="H20" s="50">
        <f>[1]标准人!D18*0.86</f>
        <v>4472</v>
      </c>
      <c r="I20" s="51">
        <v>0.4</v>
      </c>
      <c r="J20" s="51">
        <v>2</v>
      </c>
      <c r="K20" s="51">
        <v>1</v>
      </c>
      <c r="L20" s="52">
        <f t="shared" si="0"/>
        <v>51650.448392</v>
      </c>
    </row>
    <row r="21" ht="15.6" spans="1:12">
      <c r="A21" s="51">
        <v>1</v>
      </c>
      <c r="B21" s="50" t="s">
        <v>57</v>
      </c>
      <c r="C21" s="50" t="s">
        <v>20</v>
      </c>
      <c r="D21" s="50" t="s">
        <v>58</v>
      </c>
      <c r="E21" s="50">
        <v>18</v>
      </c>
      <c r="F21" s="50">
        <f>[1]标准人!B19*1.8</f>
        <v>1404</v>
      </c>
      <c r="G21" s="50">
        <f>[1]标准人!C19*1.45</f>
        <v>996.643</v>
      </c>
      <c r="H21" s="50">
        <f>[1]标准人!D19*0.86</f>
        <v>4644</v>
      </c>
      <c r="I21" s="51">
        <v>0.4</v>
      </c>
      <c r="J21" s="51">
        <v>2</v>
      </c>
      <c r="K21" s="51">
        <v>1</v>
      </c>
      <c r="L21" s="52">
        <f t="shared" si="0"/>
        <v>53720.334229</v>
      </c>
    </row>
    <row r="22" ht="15.6" spans="1:12">
      <c r="A22" s="51">
        <v>1</v>
      </c>
      <c r="B22" s="50" t="s">
        <v>57</v>
      </c>
      <c r="C22" s="50" t="s">
        <v>20</v>
      </c>
      <c r="D22" s="50" t="s">
        <v>58</v>
      </c>
      <c r="E22" s="50">
        <v>19</v>
      </c>
      <c r="F22" s="50">
        <f>[1]标准人!B20*1.8</f>
        <v>1476</v>
      </c>
      <c r="G22" s="50">
        <f>[1]标准人!C20*1.45</f>
        <v>1012.622</v>
      </c>
      <c r="H22" s="50">
        <f>[1]标准人!D20*0.86</f>
        <v>4816</v>
      </c>
      <c r="I22" s="51">
        <v>0.4</v>
      </c>
      <c r="J22" s="51">
        <v>2</v>
      </c>
      <c r="K22" s="51">
        <v>1</v>
      </c>
      <c r="L22" s="52">
        <f t="shared" si="0"/>
        <v>55790.220066</v>
      </c>
    </row>
    <row r="23" ht="15.6" spans="1:12">
      <c r="A23" s="51">
        <v>1</v>
      </c>
      <c r="B23" s="50" t="s">
        <v>57</v>
      </c>
      <c r="C23" s="50" t="s">
        <v>20</v>
      </c>
      <c r="D23" s="50" t="s">
        <v>58</v>
      </c>
      <c r="E23" s="50">
        <v>20</v>
      </c>
      <c r="F23" s="50">
        <f>[1]标准人!B21*1.8</f>
        <v>1548</v>
      </c>
      <c r="G23" s="50">
        <f>[1]标准人!C21*1.45</f>
        <v>1028.601</v>
      </c>
      <c r="H23" s="50">
        <f>[1]标准人!D21*0.86</f>
        <v>4988</v>
      </c>
      <c r="I23" s="51">
        <v>0.4</v>
      </c>
      <c r="J23" s="51">
        <v>2</v>
      </c>
      <c r="K23" s="51">
        <v>1</v>
      </c>
      <c r="L23" s="52">
        <f t="shared" si="0"/>
        <v>57860.105903</v>
      </c>
    </row>
    <row r="24" ht="15.6" spans="1:12">
      <c r="A24" s="51">
        <v>1</v>
      </c>
      <c r="B24" s="50" t="s">
        <v>57</v>
      </c>
      <c r="C24" s="50" t="s">
        <v>20</v>
      </c>
      <c r="D24" s="50" t="s">
        <v>58</v>
      </c>
      <c r="E24" s="50">
        <v>21</v>
      </c>
      <c r="F24" s="50">
        <f>[1]标准人!B22*1.8</f>
        <v>1620</v>
      </c>
      <c r="G24" s="50">
        <f>[1]标准人!C22*1.45</f>
        <v>1044.58</v>
      </c>
      <c r="H24" s="50">
        <f>[1]标准人!D22*0.86</f>
        <v>5160</v>
      </c>
      <c r="I24" s="51">
        <v>0.4</v>
      </c>
      <c r="J24" s="51">
        <v>2</v>
      </c>
      <c r="K24" s="51">
        <v>1</v>
      </c>
      <c r="L24" s="52">
        <f t="shared" si="0"/>
        <v>59929.99174</v>
      </c>
    </row>
    <row r="25" ht="15.6" spans="1:12">
      <c r="A25" s="51">
        <v>1</v>
      </c>
      <c r="B25" s="50" t="s">
        <v>57</v>
      </c>
      <c r="C25" s="50" t="s">
        <v>20</v>
      </c>
      <c r="D25" s="50" t="s">
        <v>58</v>
      </c>
      <c r="E25" s="50">
        <v>22</v>
      </c>
      <c r="F25" s="50">
        <f>[1]标准人!B23*1.8</f>
        <v>1692</v>
      </c>
      <c r="G25" s="50">
        <f>[1]标准人!C23*1.45</f>
        <v>1060.559</v>
      </c>
      <c r="H25" s="50">
        <f>[1]标准人!D23*0.86</f>
        <v>5332</v>
      </c>
      <c r="I25" s="51">
        <v>0.4</v>
      </c>
      <c r="J25" s="51">
        <v>2</v>
      </c>
      <c r="K25" s="51">
        <v>1</v>
      </c>
      <c r="L25" s="52">
        <f t="shared" si="0"/>
        <v>61999.877577</v>
      </c>
    </row>
    <row r="26" ht="15.6" spans="1:12">
      <c r="A26" s="51">
        <v>1</v>
      </c>
      <c r="B26" s="50" t="s">
        <v>57</v>
      </c>
      <c r="C26" s="50" t="s">
        <v>20</v>
      </c>
      <c r="D26" s="50" t="s">
        <v>58</v>
      </c>
      <c r="E26" s="50">
        <v>23</v>
      </c>
      <c r="F26" s="50">
        <f>[1]标准人!B24*1.8</f>
        <v>1764</v>
      </c>
      <c r="G26" s="50">
        <f>[1]标准人!C24*1.45</f>
        <v>1076.538</v>
      </c>
      <c r="H26" s="50">
        <f>[1]标准人!D24*0.86</f>
        <v>5504</v>
      </c>
      <c r="I26" s="51">
        <v>0.4</v>
      </c>
      <c r="J26" s="51">
        <v>2</v>
      </c>
      <c r="K26" s="51">
        <v>1</v>
      </c>
      <c r="L26" s="52">
        <f t="shared" si="0"/>
        <v>64069.763414</v>
      </c>
    </row>
    <row r="27" ht="15.6" spans="1:12">
      <c r="A27" s="51">
        <v>1</v>
      </c>
      <c r="B27" s="50" t="s">
        <v>57</v>
      </c>
      <c r="C27" s="50" t="s">
        <v>20</v>
      </c>
      <c r="D27" s="50" t="s">
        <v>58</v>
      </c>
      <c r="E27" s="50">
        <v>24</v>
      </c>
      <c r="F27" s="50">
        <f>[1]标准人!B25*1.8</f>
        <v>1836</v>
      </c>
      <c r="G27" s="50">
        <f>[1]标准人!C25*1.45</f>
        <v>1092.517</v>
      </c>
      <c r="H27" s="50">
        <f>[1]标准人!D25*0.86</f>
        <v>5676</v>
      </c>
      <c r="I27" s="51">
        <v>0.4</v>
      </c>
      <c r="J27" s="51">
        <v>2</v>
      </c>
      <c r="K27" s="51">
        <v>1</v>
      </c>
      <c r="L27" s="52">
        <f t="shared" si="0"/>
        <v>66139.649251</v>
      </c>
    </row>
    <row r="28" ht="15.6" spans="1:12">
      <c r="A28" s="51">
        <v>1</v>
      </c>
      <c r="B28" s="50" t="s">
        <v>57</v>
      </c>
      <c r="C28" s="50" t="s">
        <v>20</v>
      </c>
      <c r="D28" s="50" t="s">
        <v>58</v>
      </c>
      <c r="E28" s="50">
        <v>25</v>
      </c>
      <c r="F28" s="50">
        <f>[1]标准人!B26*1.8</f>
        <v>1908</v>
      </c>
      <c r="G28" s="50">
        <f>[1]标准人!C26*1.45</f>
        <v>1108.496</v>
      </c>
      <c r="H28" s="50">
        <f>[1]标准人!D26*0.86</f>
        <v>5848</v>
      </c>
      <c r="I28" s="51">
        <v>0.4</v>
      </c>
      <c r="J28" s="51">
        <v>2</v>
      </c>
      <c r="K28" s="51">
        <v>1</v>
      </c>
      <c r="L28" s="52">
        <f t="shared" si="0"/>
        <v>68209.535088</v>
      </c>
    </row>
    <row r="29" ht="15.6" spans="1:12">
      <c r="A29" s="51">
        <v>1</v>
      </c>
      <c r="B29" s="50" t="s">
        <v>57</v>
      </c>
      <c r="C29" s="50" t="s">
        <v>20</v>
      </c>
      <c r="D29" s="50" t="s">
        <v>58</v>
      </c>
      <c r="E29" s="50">
        <v>26</v>
      </c>
      <c r="F29" s="50">
        <f>[1]标准人!B27*1.8</f>
        <v>1980</v>
      </c>
      <c r="G29" s="50">
        <f>[1]标准人!C27*1.45</f>
        <v>1124.475</v>
      </c>
      <c r="H29" s="50">
        <f>[1]标准人!D27*0.86</f>
        <v>6020</v>
      </c>
      <c r="I29" s="51">
        <v>0.4</v>
      </c>
      <c r="J29" s="51">
        <v>2</v>
      </c>
      <c r="K29" s="51">
        <v>1</v>
      </c>
      <c r="L29" s="52">
        <f t="shared" si="0"/>
        <v>70279.420925</v>
      </c>
    </row>
    <row r="30" ht="15.6" spans="1:12">
      <c r="A30" s="51">
        <v>1</v>
      </c>
      <c r="B30" s="50" t="s">
        <v>57</v>
      </c>
      <c r="C30" s="50" t="s">
        <v>20</v>
      </c>
      <c r="D30" s="50" t="s">
        <v>58</v>
      </c>
      <c r="E30" s="50">
        <v>27</v>
      </c>
      <c r="F30" s="50">
        <f>[1]标准人!B28*1.8</f>
        <v>2052</v>
      </c>
      <c r="G30" s="50">
        <f>[1]标准人!C28*1.45</f>
        <v>1140.454</v>
      </c>
      <c r="H30" s="50">
        <f>[1]标准人!D28*0.86</f>
        <v>6192</v>
      </c>
      <c r="I30" s="51">
        <v>0.4</v>
      </c>
      <c r="J30" s="51">
        <v>2</v>
      </c>
      <c r="K30" s="51">
        <v>1</v>
      </c>
      <c r="L30" s="52">
        <f t="shared" si="0"/>
        <v>72349.306762</v>
      </c>
    </row>
    <row r="31" ht="15.6" spans="1:12">
      <c r="A31" s="51">
        <v>1</v>
      </c>
      <c r="B31" s="50" t="s">
        <v>57</v>
      </c>
      <c r="C31" s="50" t="s">
        <v>20</v>
      </c>
      <c r="D31" s="50" t="s">
        <v>58</v>
      </c>
      <c r="E31" s="50">
        <v>28</v>
      </c>
      <c r="F31" s="50">
        <f>[1]标准人!B29*1.8</f>
        <v>2124</v>
      </c>
      <c r="G31" s="50">
        <f>[1]标准人!C29*1.45</f>
        <v>1156.433</v>
      </c>
      <c r="H31" s="50">
        <f>[1]标准人!D29*0.86</f>
        <v>6364</v>
      </c>
      <c r="I31" s="51">
        <v>0.4</v>
      </c>
      <c r="J31" s="51">
        <v>2</v>
      </c>
      <c r="K31" s="51">
        <v>1</v>
      </c>
      <c r="L31" s="52">
        <f t="shared" si="0"/>
        <v>74419.192599</v>
      </c>
    </row>
    <row r="32" ht="15.6" spans="1:12">
      <c r="A32" s="51">
        <v>1</v>
      </c>
      <c r="B32" s="50" t="s">
        <v>57</v>
      </c>
      <c r="C32" s="50" t="s">
        <v>20</v>
      </c>
      <c r="D32" s="50" t="s">
        <v>58</v>
      </c>
      <c r="E32" s="50">
        <v>29</v>
      </c>
      <c r="F32" s="50">
        <f>[1]标准人!B30*1.8</f>
        <v>2196</v>
      </c>
      <c r="G32" s="50">
        <f>[1]标准人!C30*1.45</f>
        <v>1172.412</v>
      </c>
      <c r="H32" s="50">
        <f>[1]标准人!D30*0.86</f>
        <v>6536</v>
      </c>
      <c r="I32" s="51">
        <v>0.4</v>
      </c>
      <c r="J32" s="51">
        <v>2</v>
      </c>
      <c r="K32" s="51">
        <v>1</v>
      </c>
      <c r="L32" s="52">
        <f t="shared" si="0"/>
        <v>76489.078436</v>
      </c>
    </row>
    <row r="33" ht="15.6" spans="1:12">
      <c r="A33" s="51">
        <v>1</v>
      </c>
      <c r="B33" s="50" t="s">
        <v>57</v>
      </c>
      <c r="C33" s="50" t="s">
        <v>20</v>
      </c>
      <c r="D33" s="50" t="s">
        <v>58</v>
      </c>
      <c r="E33" s="50">
        <v>30</v>
      </c>
      <c r="F33" s="50">
        <f>[1]标准人!B31*1.8</f>
        <v>2268</v>
      </c>
      <c r="G33" s="50">
        <f>[1]标准人!C31*1.45</f>
        <v>1188.391</v>
      </c>
      <c r="H33" s="50">
        <f>[1]标准人!D31*0.86</f>
        <v>6708</v>
      </c>
      <c r="I33" s="51">
        <v>0.4</v>
      </c>
      <c r="J33" s="51">
        <v>2</v>
      </c>
      <c r="K33" s="51">
        <v>1</v>
      </c>
      <c r="L33" s="52">
        <f t="shared" si="0"/>
        <v>78558.964273</v>
      </c>
    </row>
    <row r="34" ht="15.6" spans="1:12">
      <c r="A34" s="51">
        <v>1</v>
      </c>
      <c r="B34" s="50" t="s">
        <v>57</v>
      </c>
      <c r="C34" s="50" t="s">
        <v>20</v>
      </c>
      <c r="D34" s="50" t="s">
        <v>58</v>
      </c>
      <c r="E34" s="50">
        <v>31</v>
      </c>
      <c r="F34" s="50">
        <f>[1]标准人!B32*1.8</f>
        <v>2340</v>
      </c>
      <c r="G34" s="50">
        <f>[1]标准人!C32*1.45</f>
        <v>1204.37</v>
      </c>
      <c r="H34" s="50">
        <f>[1]标准人!D32*0.86</f>
        <v>6880</v>
      </c>
      <c r="I34" s="51">
        <v>0.4</v>
      </c>
      <c r="J34" s="51">
        <v>2</v>
      </c>
      <c r="K34" s="51">
        <v>1</v>
      </c>
      <c r="L34" s="52">
        <f t="shared" si="0"/>
        <v>80628.85011</v>
      </c>
    </row>
    <row r="35" ht="15.6" spans="1:12">
      <c r="A35" s="51">
        <v>1</v>
      </c>
      <c r="B35" s="50" t="s">
        <v>57</v>
      </c>
      <c r="C35" s="50" t="s">
        <v>20</v>
      </c>
      <c r="D35" s="50" t="s">
        <v>58</v>
      </c>
      <c r="E35" s="50">
        <v>32</v>
      </c>
      <c r="F35" s="50">
        <f>[1]标准人!B33*1.8</f>
        <v>2412</v>
      </c>
      <c r="G35" s="50">
        <f>[1]标准人!C33*1.45</f>
        <v>1220.349</v>
      </c>
      <c r="H35" s="50">
        <f>[1]标准人!D33*0.86</f>
        <v>7052</v>
      </c>
      <c r="I35" s="51">
        <v>0.4</v>
      </c>
      <c r="J35" s="51">
        <v>2</v>
      </c>
      <c r="K35" s="51">
        <v>1</v>
      </c>
      <c r="L35" s="52">
        <f t="shared" si="0"/>
        <v>82698.735947</v>
      </c>
    </row>
    <row r="36" ht="15.6" spans="1:12">
      <c r="A36" s="51">
        <v>1</v>
      </c>
      <c r="B36" s="50" t="s">
        <v>57</v>
      </c>
      <c r="C36" s="50" t="s">
        <v>20</v>
      </c>
      <c r="D36" s="50" t="s">
        <v>58</v>
      </c>
      <c r="E36" s="50">
        <v>33</v>
      </c>
      <c r="F36" s="50">
        <f>[1]标准人!B34*1.8</f>
        <v>2484</v>
      </c>
      <c r="G36" s="50">
        <f>[1]标准人!C34*1.45</f>
        <v>1236.328</v>
      </c>
      <c r="H36" s="50">
        <f>[1]标准人!D34*0.86</f>
        <v>7224</v>
      </c>
      <c r="I36" s="51">
        <v>0.4</v>
      </c>
      <c r="J36" s="51">
        <v>2</v>
      </c>
      <c r="K36" s="51">
        <v>1</v>
      </c>
      <c r="L36" s="52">
        <f t="shared" si="0"/>
        <v>84768.621784</v>
      </c>
    </row>
    <row r="37" ht="15.6" spans="1:12">
      <c r="A37" s="51">
        <v>1</v>
      </c>
      <c r="B37" s="50" t="s">
        <v>57</v>
      </c>
      <c r="C37" s="50" t="s">
        <v>20</v>
      </c>
      <c r="D37" s="50" t="s">
        <v>58</v>
      </c>
      <c r="E37" s="50">
        <v>34</v>
      </c>
      <c r="F37" s="50">
        <f>[1]标准人!B35*1.8</f>
        <v>2556</v>
      </c>
      <c r="G37" s="50">
        <f>[1]标准人!C35*1.45</f>
        <v>1252.307</v>
      </c>
      <c r="H37" s="50">
        <f>[1]标准人!D35*0.86</f>
        <v>7396</v>
      </c>
      <c r="I37" s="51">
        <v>0.4</v>
      </c>
      <c r="J37" s="51">
        <v>2</v>
      </c>
      <c r="K37" s="51">
        <v>1</v>
      </c>
      <c r="L37" s="52">
        <f t="shared" si="0"/>
        <v>86838.507621</v>
      </c>
    </row>
    <row r="38" ht="15.6" spans="1:12">
      <c r="A38" s="51">
        <v>1</v>
      </c>
      <c r="B38" s="50" t="s">
        <v>57</v>
      </c>
      <c r="C38" s="50" t="s">
        <v>20</v>
      </c>
      <c r="D38" s="50" t="s">
        <v>58</v>
      </c>
      <c r="E38" s="50">
        <v>35</v>
      </c>
      <c r="F38" s="50">
        <f>[1]标准人!B36*1.8</f>
        <v>2628</v>
      </c>
      <c r="G38" s="50">
        <f>[1]标准人!C36*1.45</f>
        <v>1268.286</v>
      </c>
      <c r="H38" s="50">
        <f>[1]标准人!D36*0.86</f>
        <v>7568</v>
      </c>
      <c r="I38" s="51">
        <v>0.4</v>
      </c>
      <c r="J38" s="51">
        <v>2</v>
      </c>
      <c r="K38" s="51">
        <v>1</v>
      </c>
      <c r="L38" s="52">
        <f t="shared" si="0"/>
        <v>88908.393458</v>
      </c>
    </row>
    <row r="39" ht="15.6" spans="1:12">
      <c r="A39" s="51">
        <v>1</v>
      </c>
      <c r="B39" s="50" t="s">
        <v>57</v>
      </c>
      <c r="C39" s="50" t="s">
        <v>20</v>
      </c>
      <c r="D39" s="50" t="s">
        <v>58</v>
      </c>
      <c r="E39" s="50">
        <v>36</v>
      </c>
      <c r="F39" s="50">
        <f>[1]标准人!B37*1.8</f>
        <v>2700</v>
      </c>
      <c r="G39" s="50">
        <f>[1]标准人!C37*1.45</f>
        <v>1284.265</v>
      </c>
      <c r="H39" s="50">
        <f>[1]标准人!D37*0.86</f>
        <v>7740</v>
      </c>
      <c r="I39" s="51">
        <v>0.4</v>
      </c>
      <c r="J39" s="51">
        <v>2</v>
      </c>
      <c r="K39" s="51">
        <v>1</v>
      </c>
      <c r="L39" s="52">
        <f t="shared" si="0"/>
        <v>90978.279295</v>
      </c>
    </row>
    <row r="40" ht="15.6" spans="1:12">
      <c r="A40" s="51">
        <v>1</v>
      </c>
      <c r="B40" s="50" t="s">
        <v>57</v>
      </c>
      <c r="C40" s="50" t="s">
        <v>20</v>
      </c>
      <c r="D40" s="50" t="s">
        <v>58</v>
      </c>
      <c r="E40" s="50">
        <v>37</v>
      </c>
      <c r="F40" s="50">
        <f>[1]标准人!B38*1.8</f>
        <v>2772</v>
      </c>
      <c r="G40" s="50">
        <f>[1]标准人!C38*1.45</f>
        <v>1300.244</v>
      </c>
      <c r="H40" s="50">
        <f>[1]标准人!D38*0.86</f>
        <v>7912</v>
      </c>
      <c r="I40" s="51">
        <v>0.4</v>
      </c>
      <c r="J40" s="51">
        <v>2</v>
      </c>
      <c r="K40" s="51">
        <v>1</v>
      </c>
      <c r="L40" s="52">
        <f t="shared" si="0"/>
        <v>93048.165132</v>
      </c>
    </row>
    <row r="41" ht="15.6" spans="1:12">
      <c r="A41" s="51">
        <v>1</v>
      </c>
      <c r="B41" s="50" t="s">
        <v>57</v>
      </c>
      <c r="C41" s="50" t="s">
        <v>20</v>
      </c>
      <c r="D41" s="50" t="s">
        <v>58</v>
      </c>
      <c r="E41" s="50">
        <v>38</v>
      </c>
      <c r="F41" s="50">
        <f>[1]标准人!B39*1.8</f>
        <v>2844</v>
      </c>
      <c r="G41" s="50">
        <f>[1]标准人!C39*1.45</f>
        <v>1316.223</v>
      </c>
      <c r="H41" s="50">
        <f>[1]标准人!D39*0.86</f>
        <v>8084</v>
      </c>
      <c r="I41" s="51">
        <v>0.4</v>
      </c>
      <c r="J41" s="51">
        <v>2</v>
      </c>
      <c r="K41" s="51">
        <v>1</v>
      </c>
      <c r="L41" s="52">
        <f t="shared" si="0"/>
        <v>95118.050969</v>
      </c>
    </row>
    <row r="42" ht="15.6" spans="1:12">
      <c r="A42" s="51">
        <v>1</v>
      </c>
      <c r="B42" s="50" t="s">
        <v>57</v>
      </c>
      <c r="C42" s="50" t="s">
        <v>20</v>
      </c>
      <c r="D42" s="50" t="s">
        <v>58</v>
      </c>
      <c r="E42" s="50">
        <v>39</v>
      </c>
      <c r="F42" s="50">
        <f>[1]标准人!B40*1.8</f>
        <v>2916</v>
      </c>
      <c r="G42" s="50">
        <f>[1]标准人!C40*1.45</f>
        <v>1332.202</v>
      </c>
      <c r="H42" s="50">
        <f>[1]标准人!D40*0.86</f>
        <v>8256</v>
      </c>
      <c r="I42" s="51">
        <v>0.4</v>
      </c>
      <c r="J42" s="51">
        <v>2</v>
      </c>
      <c r="K42" s="51">
        <v>1</v>
      </c>
      <c r="L42" s="52">
        <f t="shared" si="0"/>
        <v>97187.936806</v>
      </c>
    </row>
    <row r="43" ht="15.6" spans="1:12">
      <c r="A43" s="51">
        <v>1</v>
      </c>
      <c r="B43" s="50" t="s">
        <v>57</v>
      </c>
      <c r="C43" s="50" t="s">
        <v>20</v>
      </c>
      <c r="D43" s="50" t="s">
        <v>58</v>
      </c>
      <c r="E43" s="50">
        <v>40</v>
      </c>
      <c r="F43" s="50">
        <f>[1]标准人!B41*1.8</f>
        <v>2988</v>
      </c>
      <c r="G43" s="50">
        <f>[1]标准人!C41*1.45</f>
        <v>1348.181</v>
      </c>
      <c r="H43" s="50">
        <f>[1]标准人!D41*0.86</f>
        <v>8428</v>
      </c>
      <c r="I43" s="51">
        <v>0.4</v>
      </c>
      <c r="J43" s="51">
        <v>2</v>
      </c>
      <c r="K43" s="51">
        <v>1</v>
      </c>
      <c r="L43" s="52">
        <f t="shared" si="0"/>
        <v>99257.822643</v>
      </c>
    </row>
    <row r="44" ht="15.6" spans="1:12">
      <c r="A44" s="51">
        <v>1</v>
      </c>
      <c r="B44" s="50" t="s">
        <v>57</v>
      </c>
      <c r="C44" s="50" t="s">
        <v>20</v>
      </c>
      <c r="D44" s="50" t="s">
        <v>58</v>
      </c>
      <c r="E44" s="50">
        <v>41</v>
      </c>
      <c r="F44" s="50">
        <f>[1]标准人!B42*1.8</f>
        <v>3060</v>
      </c>
      <c r="G44" s="50">
        <f>[1]标准人!C42*1.45</f>
        <v>1364.16</v>
      </c>
      <c r="H44" s="50">
        <f>[1]标准人!D42*0.86</f>
        <v>8600</v>
      </c>
      <c r="I44" s="51">
        <v>0.4</v>
      </c>
      <c r="J44" s="51">
        <v>2</v>
      </c>
      <c r="K44" s="51">
        <v>1</v>
      </c>
      <c r="L44" s="52">
        <f t="shared" si="0"/>
        <v>101327.70848</v>
      </c>
    </row>
    <row r="45" ht="15.6" spans="1:12">
      <c r="A45" s="51">
        <v>1</v>
      </c>
      <c r="B45" s="50" t="s">
        <v>57</v>
      </c>
      <c r="C45" s="50" t="s">
        <v>20</v>
      </c>
      <c r="D45" s="50" t="s">
        <v>58</v>
      </c>
      <c r="E45" s="50">
        <v>42</v>
      </c>
      <c r="F45" s="50">
        <f>[1]标准人!B43*1.8</f>
        <v>3132</v>
      </c>
      <c r="G45" s="50">
        <f>[1]标准人!C43*1.45</f>
        <v>1380.139</v>
      </c>
      <c r="H45" s="50">
        <f>[1]标准人!D43*0.86</f>
        <v>8772</v>
      </c>
      <c r="I45" s="51">
        <v>0.4</v>
      </c>
      <c r="J45" s="51">
        <v>2</v>
      </c>
      <c r="K45" s="51">
        <v>1</v>
      </c>
      <c r="L45" s="52">
        <f t="shared" si="0"/>
        <v>103397.594317</v>
      </c>
    </row>
    <row r="46" ht="15.6" spans="1:12">
      <c r="A46" s="51">
        <v>1</v>
      </c>
      <c r="B46" s="50" t="s">
        <v>57</v>
      </c>
      <c r="C46" s="50" t="s">
        <v>20</v>
      </c>
      <c r="D46" s="50" t="s">
        <v>58</v>
      </c>
      <c r="E46" s="50">
        <v>43</v>
      </c>
      <c r="F46" s="50">
        <f>[1]标准人!B44*1.8</f>
        <v>3204</v>
      </c>
      <c r="G46" s="50">
        <f>[1]标准人!C44*1.45</f>
        <v>1396.118</v>
      </c>
      <c r="H46" s="50">
        <f>[1]标准人!D44*0.86</f>
        <v>8944</v>
      </c>
      <c r="I46" s="51">
        <v>0.4</v>
      </c>
      <c r="J46" s="51">
        <v>2</v>
      </c>
      <c r="K46" s="51">
        <v>1</v>
      </c>
      <c r="L46" s="52">
        <f t="shared" si="0"/>
        <v>105467.480154</v>
      </c>
    </row>
    <row r="47" ht="15.6" spans="1:12">
      <c r="A47" s="51">
        <v>1</v>
      </c>
      <c r="B47" s="50" t="s">
        <v>57</v>
      </c>
      <c r="C47" s="50" t="s">
        <v>20</v>
      </c>
      <c r="D47" s="50" t="s">
        <v>58</v>
      </c>
      <c r="E47" s="50">
        <v>44</v>
      </c>
      <c r="F47" s="50">
        <f>[1]标准人!B45*1.8</f>
        <v>3276</v>
      </c>
      <c r="G47" s="50">
        <f>[1]标准人!C45*1.45</f>
        <v>1412.097</v>
      </c>
      <c r="H47" s="50">
        <f>[1]标准人!D45*0.86</f>
        <v>9116</v>
      </c>
      <c r="I47" s="51">
        <v>0.4</v>
      </c>
      <c r="J47" s="51">
        <v>2</v>
      </c>
      <c r="K47" s="51">
        <v>1</v>
      </c>
      <c r="L47" s="52">
        <f t="shared" si="0"/>
        <v>107537.365991</v>
      </c>
    </row>
    <row r="48" ht="15.6" spans="1:12">
      <c r="A48" s="51">
        <v>1</v>
      </c>
      <c r="B48" s="50" t="s">
        <v>57</v>
      </c>
      <c r="C48" s="50" t="s">
        <v>20</v>
      </c>
      <c r="D48" s="50" t="s">
        <v>58</v>
      </c>
      <c r="E48" s="50">
        <v>45</v>
      </c>
      <c r="F48" s="50">
        <f>[1]标准人!B46*1.8</f>
        <v>3348</v>
      </c>
      <c r="G48" s="50">
        <f>[1]标准人!C46*1.45</f>
        <v>1428.076</v>
      </c>
      <c r="H48" s="50">
        <f>[1]标准人!D46*0.86</f>
        <v>9288</v>
      </c>
      <c r="I48" s="51">
        <v>0.4</v>
      </c>
      <c r="J48" s="51">
        <v>2</v>
      </c>
      <c r="K48" s="51">
        <v>1</v>
      </c>
      <c r="L48" s="52">
        <f t="shared" si="0"/>
        <v>109607.251828</v>
      </c>
    </row>
    <row r="49" ht="15.6" spans="1:12">
      <c r="A49" s="51">
        <v>1</v>
      </c>
      <c r="B49" s="50" t="s">
        <v>57</v>
      </c>
      <c r="C49" s="50" t="s">
        <v>20</v>
      </c>
      <c r="D49" s="50" t="s">
        <v>58</v>
      </c>
      <c r="E49" s="50">
        <v>46</v>
      </c>
      <c r="F49" s="50">
        <f>[1]标准人!B47*1.8</f>
        <v>3420</v>
      </c>
      <c r="G49" s="50">
        <f>[1]标准人!C47*1.45</f>
        <v>1444.055</v>
      </c>
      <c r="H49" s="50">
        <f>[1]标准人!D47*0.86</f>
        <v>9460</v>
      </c>
      <c r="I49" s="51">
        <v>0.4</v>
      </c>
      <c r="J49" s="51">
        <v>2</v>
      </c>
      <c r="K49" s="51">
        <v>1</v>
      </c>
      <c r="L49" s="52">
        <f t="shared" si="0"/>
        <v>111677.137665</v>
      </c>
    </row>
    <row r="50" ht="15.6" spans="1:12">
      <c r="A50" s="51">
        <v>1</v>
      </c>
      <c r="B50" s="50" t="s">
        <v>57</v>
      </c>
      <c r="C50" s="50" t="s">
        <v>20</v>
      </c>
      <c r="D50" s="50" t="s">
        <v>58</v>
      </c>
      <c r="E50" s="50">
        <v>47</v>
      </c>
      <c r="F50" s="50">
        <f>[1]标准人!B48*1.8</f>
        <v>3492</v>
      </c>
      <c r="G50" s="50">
        <f>[1]标准人!C48*1.45</f>
        <v>1460.034</v>
      </c>
      <c r="H50" s="50">
        <f>[1]标准人!D48*0.86</f>
        <v>9632</v>
      </c>
      <c r="I50" s="51">
        <v>0.4</v>
      </c>
      <c r="J50" s="51">
        <v>2</v>
      </c>
      <c r="K50" s="51">
        <v>1</v>
      </c>
      <c r="L50" s="52">
        <f t="shared" si="0"/>
        <v>113747.023502</v>
      </c>
    </row>
    <row r="51" ht="15.6" spans="1:12">
      <c r="A51" s="51">
        <v>1</v>
      </c>
      <c r="B51" s="50" t="s">
        <v>57</v>
      </c>
      <c r="C51" s="50" t="s">
        <v>20</v>
      </c>
      <c r="D51" s="50" t="s">
        <v>58</v>
      </c>
      <c r="E51" s="50">
        <v>48</v>
      </c>
      <c r="F51" s="50">
        <f>[1]标准人!B49*1.8</f>
        <v>3564</v>
      </c>
      <c r="G51" s="50">
        <f>[1]标准人!C49*1.45</f>
        <v>1476.013</v>
      </c>
      <c r="H51" s="50">
        <f>[1]标准人!D49*0.86</f>
        <v>9804</v>
      </c>
      <c r="I51" s="51">
        <v>0.4</v>
      </c>
      <c r="J51" s="51">
        <v>2</v>
      </c>
      <c r="K51" s="51">
        <v>1</v>
      </c>
      <c r="L51" s="52">
        <f t="shared" si="0"/>
        <v>115816.909339</v>
      </c>
    </row>
    <row r="52" ht="15.6" spans="1:12">
      <c r="A52" s="51">
        <v>1</v>
      </c>
      <c r="B52" s="50" t="s">
        <v>57</v>
      </c>
      <c r="C52" s="50" t="s">
        <v>20</v>
      </c>
      <c r="D52" s="50" t="s">
        <v>58</v>
      </c>
      <c r="E52" s="50">
        <v>49</v>
      </c>
      <c r="F52" s="50">
        <f>[1]标准人!B50*1.8</f>
        <v>3636</v>
      </c>
      <c r="G52" s="50">
        <f>[1]标准人!C50*1.45</f>
        <v>1491.992</v>
      </c>
      <c r="H52" s="50">
        <f>[1]标准人!D50*0.86</f>
        <v>9976</v>
      </c>
      <c r="I52" s="51">
        <v>0.4</v>
      </c>
      <c r="J52" s="51">
        <v>2</v>
      </c>
      <c r="K52" s="51">
        <v>1</v>
      </c>
      <c r="L52" s="52">
        <f t="shared" si="0"/>
        <v>117886.795176</v>
      </c>
    </row>
    <row r="53" ht="15.6" spans="1:12">
      <c r="A53" s="51">
        <v>1</v>
      </c>
      <c r="B53" s="50" t="s">
        <v>57</v>
      </c>
      <c r="C53" s="50" t="s">
        <v>20</v>
      </c>
      <c r="D53" s="50" t="s">
        <v>58</v>
      </c>
      <c r="E53" s="50">
        <v>50</v>
      </c>
      <c r="F53" s="50">
        <f>[1]标准人!B51*1.8</f>
        <v>3708</v>
      </c>
      <c r="G53" s="50">
        <f>[1]标准人!C51*1.45</f>
        <v>1507.971</v>
      </c>
      <c r="H53" s="50">
        <f>[1]标准人!D51*0.86</f>
        <v>10148</v>
      </c>
      <c r="I53" s="51">
        <v>0.4</v>
      </c>
      <c r="J53" s="51">
        <v>2</v>
      </c>
      <c r="K53" s="51">
        <v>1</v>
      </c>
      <c r="L53" s="52">
        <f t="shared" si="0"/>
        <v>119956.681013</v>
      </c>
    </row>
    <row r="54" ht="15.6" spans="1:12">
      <c r="A54" s="51">
        <v>1</v>
      </c>
      <c r="B54" s="50" t="s">
        <v>57</v>
      </c>
      <c r="C54" s="50" t="s">
        <v>20</v>
      </c>
      <c r="D54" s="50" t="s">
        <v>58</v>
      </c>
      <c r="E54" s="50">
        <v>51</v>
      </c>
      <c r="F54" s="50">
        <f>[1]标准人!B52*1.8</f>
        <v>3780</v>
      </c>
      <c r="G54" s="50">
        <f>[1]标准人!C52*1.45</f>
        <v>1523.95</v>
      </c>
      <c r="H54" s="50">
        <f>[1]标准人!D52*0.86</f>
        <v>10320</v>
      </c>
      <c r="I54" s="51">
        <v>0.4</v>
      </c>
      <c r="J54" s="51">
        <v>2</v>
      </c>
      <c r="K54" s="51">
        <v>1</v>
      </c>
      <c r="L54" s="52">
        <f t="shared" si="0"/>
        <v>122026.56685</v>
      </c>
    </row>
    <row r="55" ht="15.6" spans="1:12">
      <c r="A55" s="51">
        <v>1</v>
      </c>
      <c r="B55" s="50" t="s">
        <v>57</v>
      </c>
      <c r="C55" s="50" t="s">
        <v>20</v>
      </c>
      <c r="D55" s="50" t="s">
        <v>58</v>
      </c>
      <c r="E55" s="50">
        <v>52</v>
      </c>
      <c r="F55" s="50">
        <f>[1]标准人!B53*1.8</f>
        <v>3852</v>
      </c>
      <c r="G55" s="50">
        <f>[1]标准人!C53*1.45</f>
        <v>1539.929</v>
      </c>
      <c r="H55" s="50">
        <f>[1]标准人!D53*0.86</f>
        <v>10492</v>
      </c>
      <c r="I55" s="51">
        <v>0.4</v>
      </c>
      <c r="J55" s="51">
        <v>2</v>
      </c>
      <c r="K55" s="51">
        <v>1</v>
      </c>
      <c r="L55" s="52">
        <f t="shared" si="0"/>
        <v>124096.452687</v>
      </c>
    </row>
    <row r="56" ht="15.6" spans="1:12">
      <c r="A56" s="51">
        <v>1</v>
      </c>
      <c r="B56" s="50" t="s">
        <v>57</v>
      </c>
      <c r="C56" s="50" t="s">
        <v>20</v>
      </c>
      <c r="D56" s="50" t="s">
        <v>58</v>
      </c>
      <c r="E56" s="50">
        <v>53</v>
      </c>
      <c r="F56" s="50">
        <f>[1]标准人!B54*1.8</f>
        <v>3924</v>
      </c>
      <c r="G56" s="50">
        <f>[1]标准人!C54*1.45</f>
        <v>1555.908</v>
      </c>
      <c r="H56" s="50">
        <f>[1]标准人!D54*0.86</f>
        <v>10664</v>
      </c>
      <c r="I56" s="51">
        <v>0.4</v>
      </c>
      <c r="J56" s="51">
        <v>2</v>
      </c>
      <c r="K56" s="51">
        <v>1</v>
      </c>
      <c r="L56" s="52">
        <f t="shared" si="0"/>
        <v>126166.338524</v>
      </c>
    </row>
    <row r="57" ht="15.6" spans="1:12">
      <c r="A57" s="51">
        <v>1</v>
      </c>
      <c r="B57" s="50" t="s">
        <v>57</v>
      </c>
      <c r="C57" s="50" t="s">
        <v>20</v>
      </c>
      <c r="D57" s="50" t="s">
        <v>58</v>
      </c>
      <c r="E57" s="50">
        <v>54</v>
      </c>
      <c r="F57" s="50">
        <f>[1]标准人!B55*1.8</f>
        <v>3996</v>
      </c>
      <c r="G57" s="50">
        <f>[1]标准人!C55*1.45</f>
        <v>1571.887</v>
      </c>
      <c r="H57" s="50">
        <f>[1]标准人!D55*0.86</f>
        <v>10836</v>
      </c>
      <c r="I57" s="51">
        <v>0.4</v>
      </c>
      <c r="J57" s="51">
        <v>2</v>
      </c>
      <c r="K57" s="51">
        <v>1</v>
      </c>
      <c r="L57" s="52">
        <f t="shared" si="0"/>
        <v>128236.224361</v>
      </c>
    </row>
    <row r="58" ht="15.6" spans="1:12">
      <c r="A58" s="51">
        <v>1</v>
      </c>
      <c r="B58" s="50" t="s">
        <v>57</v>
      </c>
      <c r="C58" s="50" t="s">
        <v>20</v>
      </c>
      <c r="D58" s="50" t="s">
        <v>58</v>
      </c>
      <c r="E58" s="50">
        <v>55</v>
      </c>
      <c r="F58" s="50">
        <f>[1]标准人!B56*1.8</f>
        <v>4068</v>
      </c>
      <c r="G58" s="50">
        <f>[1]标准人!C56*1.45</f>
        <v>1587.866</v>
      </c>
      <c r="H58" s="50">
        <f>[1]标准人!D56*0.86</f>
        <v>11008</v>
      </c>
      <c r="I58" s="51">
        <v>0.4</v>
      </c>
      <c r="J58" s="51">
        <v>2</v>
      </c>
      <c r="K58" s="51">
        <v>1</v>
      </c>
      <c r="L58" s="52">
        <f t="shared" si="0"/>
        <v>130306.110198</v>
      </c>
    </row>
    <row r="59" ht="15.6" spans="1:12">
      <c r="A59" s="51">
        <v>1</v>
      </c>
      <c r="B59" s="50" t="s">
        <v>57</v>
      </c>
      <c r="C59" s="50" t="s">
        <v>20</v>
      </c>
      <c r="D59" s="50" t="s">
        <v>58</v>
      </c>
      <c r="E59" s="50">
        <v>56</v>
      </c>
      <c r="F59" s="50">
        <f>[1]标准人!B57*1.8</f>
        <v>4140</v>
      </c>
      <c r="G59" s="50">
        <f>[1]标准人!C57*1.45</f>
        <v>1603.845</v>
      </c>
      <c r="H59" s="50">
        <f>[1]标准人!D57*0.86</f>
        <v>11180</v>
      </c>
      <c r="I59" s="51">
        <v>0.4</v>
      </c>
      <c r="J59" s="51">
        <v>2</v>
      </c>
      <c r="K59" s="51">
        <v>1</v>
      </c>
      <c r="L59" s="52">
        <f t="shared" si="0"/>
        <v>132375.996035</v>
      </c>
    </row>
    <row r="60" ht="15.6" spans="1:12">
      <c r="A60" s="51">
        <v>1</v>
      </c>
      <c r="B60" s="50" t="s">
        <v>57</v>
      </c>
      <c r="C60" s="50" t="s">
        <v>20</v>
      </c>
      <c r="D60" s="50" t="s">
        <v>58</v>
      </c>
      <c r="E60" s="50">
        <v>57</v>
      </c>
      <c r="F60" s="50">
        <f>[1]标准人!B58*1.8</f>
        <v>4212</v>
      </c>
      <c r="G60" s="50">
        <f>[1]标准人!C58*1.45</f>
        <v>1619.824</v>
      </c>
      <c r="H60" s="50">
        <f>[1]标准人!D58*0.86</f>
        <v>11352</v>
      </c>
      <c r="I60" s="51">
        <v>0.4</v>
      </c>
      <c r="J60" s="51">
        <v>2</v>
      </c>
      <c r="K60" s="51">
        <v>1</v>
      </c>
      <c r="L60" s="52">
        <f t="shared" si="0"/>
        <v>134445.881872</v>
      </c>
    </row>
    <row r="61" ht="15.6" spans="1:12">
      <c r="A61" s="51">
        <v>1</v>
      </c>
      <c r="B61" s="50" t="s">
        <v>57</v>
      </c>
      <c r="C61" s="50" t="s">
        <v>20</v>
      </c>
      <c r="D61" s="50" t="s">
        <v>58</v>
      </c>
      <c r="E61" s="50">
        <v>58</v>
      </c>
      <c r="F61" s="50">
        <f>[1]标准人!B59*1.8</f>
        <v>4284</v>
      </c>
      <c r="G61" s="50">
        <f>[1]标准人!C59*1.45</f>
        <v>1635.803</v>
      </c>
      <c r="H61" s="50">
        <f>[1]标准人!D59*0.86</f>
        <v>11524</v>
      </c>
      <c r="I61" s="51">
        <v>0.4</v>
      </c>
      <c r="J61" s="51">
        <v>2</v>
      </c>
      <c r="K61" s="51">
        <v>1</v>
      </c>
      <c r="L61" s="52">
        <f t="shared" si="0"/>
        <v>136515.767709</v>
      </c>
    </row>
    <row r="62" ht="15.6" spans="1:12">
      <c r="A62" s="51">
        <v>1</v>
      </c>
      <c r="B62" s="50" t="s">
        <v>57</v>
      </c>
      <c r="C62" s="50" t="s">
        <v>20</v>
      </c>
      <c r="D62" s="50" t="s">
        <v>58</v>
      </c>
      <c r="E62" s="50">
        <v>59</v>
      </c>
      <c r="F62" s="50">
        <f>[1]标准人!B60*1.8</f>
        <v>4356</v>
      </c>
      <c r="G62" s="50">
        <f>[1]标准人!C60*1.45</f>
        <v>1651.782</v>
      </c>
      <c r="H62" s="50">
        <f>[1]标准人!D60*0.86</f>
        <v>11696</v>
      </c>
      <c r="I62" s="51">
        <v>0.4</v>
      </c>
      <c r="J62" s="51">
        <v>2</v>
      </c>
      <c r="K62" s="51">
        <v>1</v>
      </c>
      <c r="L62" s="52">
        <f t="shared" si="0"/>
        <v>138585.653546</v>
      </c>
    </row>
    <row r="63" ht="15.6" spans="1:12">
      <c r="A63" s="51">
        <v>1</v>
      </c>
      <c r="B63" s="50" t="s">
        <v>57</v>
      </c>
      <c r="C63" s="50" t="s">
        <v>20</v>
      </c>
      <c r="D63" s="50" t="s">
        <v>58</v>
      </c>
      <c r="E63" s="50">
        <v>60</v>
      </c>
      <c r="F63" s="50">
        <f>[1]标准人!B61*1.8</f>
        <v>4428</v>
      </c>
      <c r="G63" s="50">
        <f>[1]标准人!C61*1.45</f>
        <v>1667.761</v>
      </c>
      <c r="H63" s="50">
        <f>[1]标准人!D61*0.86</f>
        <v>11868</v>
      </c>
      <c r="I63" s="51">
        <v>0.4</v>
      </c>
      <c r="J63" s="51">
        <v>2</v>
      </c>
      <c r="K63" s="51">
        <v>1</v>
      </c>
      <c r="L63" s="52">
        <f t="shared" si="0"/>
        <v>140655.539383</v>
      </c>
    </row>
    <row r="64" ht="15.6" spans="1:12">
      <c r="A64" s="51">
        <v>1</v>
      </c>
      <c r="B64" s="50" t="s">
        <v>57</v>
      </c>
      <c r="C64" s="50" t="s">
        <v>20</v>
      </c>
      <c r="D64" s="50" t="s">
        <v>58</v>
      </c>
      <c r="E64" s="50">
        <v>61</v>
      </c>
      <c r="F64" s="50">
        <f>[1]标准人!B62*1.8</f>
        <v>4500</v>
      </c>
      <c r="G64" s="50">
        <f>[1]标准人!C62*1.45</f>
        <v>1683.74</v>
      </c>
      <c r="H64" s="50">
        <f>[1]标准人!D62*0.86</f>
        <v>12040</v>
      </c>
      <c r="I64" s="51">
        <v>0.4</v>
      </c>
      <c r="J64" s="51">
        <v>2</v>
      </c>
      <c r="K64" s="51">
        <v>1</v>
      </c>
      <c r="L64" s="52">
        <f t="shared" si="0"/>
        <v>142725.42522</v>
      </c>
    </row>
    <row r="65" ht="15.6" spans="1:12">
      <c r="A65" s="51">
        <v>1</v>
      </c>
      <c r="B65" s="50" t="s">
        <v>57</v>
      </c>
      <c r="C65" s="50" t="s">
        <v>20</v>
      </c>
      <c r="D65" s="50" t="s">
        <v>58</v>
      </c>
      <c r="E65" s="50">
        <v>62</v>
      </c>
      <c r="F65" s="50">
        <f>[1]标准人!B63*1.8</f>
        <v>4572</v>
      </c>
      <c r="G65" s="50">
        <f>[1]标准人!C63*1.45</f>
        <v>1699.719</v>
      </c>
      <c r="H65" s="50">
        <f>[1]标准人!D63*0.86</f>
        <v>12212</v>
      </c>
      <c r="I65" s="51">
        <v>0.4</v>
      </c>
      <c r="J65" s="51">
        <v>2</v>
      </c>
      <c r="K65" s="51">
        <v>1</v>
      </c>
      <c r="L65" s="52">
        <f t="shared" si="0"/>
        <v>144795.311057</v>
      </c>
    </row>
    <row r="66" ht="15.6" spans="1:12">
      <c r="A66" s="51">
        <v>1</v>
      </c>
      <c r="B66" s="50" t="s">
        <v>57</v>
      </c>
      <c r="C66" s="50" t="s">
        <v>20</v>
      </c>
      <c r="D66" s="50" t="s">
        <v>58</v>
      </c>
      <c r="E66" s="50">
        <v>63</v>
      </c>
      <c r="F66" s="50">
        <f>[1]标准人!B64*1.8</f>
        <v>4644</v>
      </c>
      <c r="G66" s="50">
        <f>[1]标准人!C64*1.45</f>
        <v>1715.698</v>
      </c>
      <c r="H66" s="50">
        <f>[1]标准人!D64*0.86</f>
        <v>12384</v>
      </c>
      <c r="I66" s="51">
        <v>0.4</v>
      </c>
      <c r="J66" s="51">
        <v>2</v>
      </c>
      <c r="K66" s="51">
        <v>1</v>
      </c>
      <c r="L66" s="52">
        <f t="shared" si="0"/>
        <v>146865.196894</v>
      </c>
    </row>
    <row r="67" ht="15.6" spans="1:12">
      <c r="A67" s="51">
        <v>1</v>
      </c>
      <c r="B67" s="50" t="s">
        <v>57</v>
      </c>
      <c r="C67" s="50" t="s">
        <v>20</v>
      </c>
      <c r="D67" s="50" t="s">
        <v>58</v>
      </c>
      <c r="E67" s="50">
        <v>64</v>
      </c>
      <c r="F67" s="50">
        <f>[1]标准人!B65*1.8</f>
        <v>4716</v>
      </c>
      <c r="G67" s="50">
        <f>[1]标准人!C65*1.45</f>
        <v>1731.677</v>
      </c>
      <c r="H67" s="50">
        <f>[1]标准人!D65*0.86</f>
        <v>12556</v>
      </c>
      <c r="I67" s="51">
        <v>0.4</v>
      </c>
      <c r="J67" s="51">
        <v>2</v>
      </c>
      <c r="K67" s="51">
        <v>1</v>
      </c>
      <c r="L67" s="52">
        <f t="shared" si="0"/>
        <v>148935.082731</v>
      </c>
    </row>
    <row r="68" ht="15.6" spans="1:12">
      <c r="A68" s="51">
        <v>1</v>
      </c>
      <c r="B68" s="50" t="s">
        <v>57</v>
      </c>
      <c r="C68" s="50" t="s">
        <v>20</v>
      </c>
      <c r="D68" s="50" t="s">
        <v>58</v>
      </c>
      <c r="E68" s="50">
        <v>65</v>
      </c>
      <c r="F68" s="50">
        <f>[1]标准人!B66*1.8</f>
        <v>4788</v>
      </c>
      <c r="G68" s="50">
        <f>[1]标准人!C66*1.45</f>
        <v>1747.656</v>
      </c>
      <c r="H68" s="50">
        <f>[1]标准人!D66*0.86</f>
        <v>12728</v>
      </c>
      <c r="I68" s="51">
        <v>0.4</v>
      </c>
      <c r="J68" s="51">
        <v>2</v>
      </c>
      <c r="K68" s="51">
        <v>1</v>
      </c>
      <c r="L68" s="52">
        <f t="shared" ref="L68:L131" si="1">IF(D68="SNIP",((F68*0.4+G68*0.01+H68*1)*10.3),IF(D68="DPS",(F68*0.17+G68*0.05+H68*0.2)*30,(F68*0.1+G68*0.2+H68*1)*10/2.1))</f>
        <v>151004.968568</v>
      </c>
    </row>
    <row r="69" ht="15.6" spans="1:12">
      <c r="A69" s="51">
        <v>1</v>
      </c>
      <c r="B69" s="50" t="s">
        <v>57</v>
      </c>
      <c r="C69" s="50" t="s">
        <v>20</v>
      </c>
      <c r="D69" s="50" t="s">
        <v>58</v>
      </c>
      <c r="E69" s="50">
        <v>66</v>
      </c>
      <c r="F69" s="50">
        <f>[1]标准人!B67*1.8</f>
        <v>4860</v>
      </c>
      <c r="G69" s="50">
        <f>[1]标准人!C67*1.45</f>
        <v>1763.635</v>
      </c>
      <c r="H69" s="50">
        <f>[1]标准人!D67*0.86</f>
        <v>12900</v>
      </c>
      <c r="I69" s="51">
        <v>0.4</v>
      </c>
      <c r="J69" s="51">
        <v>2</v>
      </c>
      <c r="K69" s="51">
        <v>1</v>
      </c>
      <c r="L69" s="52">
        <f t="shared" si="1"/>
        <v>153074.854405</v>
      </c>
    </row>
    <row r="70" ht="15.6" spans="1:12">
      <c r="A70" s="51">
        <v>1</v>
      </c>
      <c r="B70" s="50" t="s">
        <v>57</v>
      </c>
      <c r="C70" s="50" t="s">
        <v>20</v>
      </c>
      <c r="D70" s="50" t="s">
        <v>58</v>
      </c>
      <c r="E70" s="50">
        <v>67</v>
      </c>
      <c r="F70" s="50">
        <f>[1]标准人!B68*1.8</f>
        <v>4932</v>
      </c>
      <c r="G70" s="50">
        <f>[1]标准人!C68*1.45</f>
        <v>1779.614</v>
      </c>
      <c r="H70" s="50">
        <f>[1]标准人!D68*0.86</f>
        <v>13072</v>
      </c>
      <c r="I70" s="51">
        <v>0.4</v>
      </c>
      <c r="J70" s="51">
        <v>2</v>
      </c>
      <c r="K70" s="51">
        <v>1</v>
      </c>
      <c r="L70" s="52">
        <f t="shared" si="1"/>
        <v>155144.740242</v>
      </c>
    </row>
    <row r="71" ht="15.6" spans="1:12">
      <c r="A71" s="51">
        <v>1</v>
      </c>
      <c r="B71" s="50" t="s">
        <v>57</v>
      </c>
      <c r="C71" s="50" t="s">
        <v>20</v>
      </c>
      <c r="D71" s="50" t="s">
        <v>58</v>
      </c>
      <c r="E71" s="50">
        <v>68</v>
      </c>
      <c r="F71" s="50">
        <f>[1]标准人!B69*1.8</f>
        <v>5004</v>
      </c>
      <c r="G71" s="50">
        <f>[1]标准人!C69*1.45</f>
        <v>1795.593</v>
      </c>
      <c r="H71" s="50">
        <f>[1]标准人!D69*0.86</f>
        <v>13244</v>
      </c>
      <c r="I71" s="51">
        <v>0.4</v>
      </c>
      <c r="J71" s="51">
        <v>2</v>
      </c>
      <c r="K71" s="51">
        <v>1</v>
      </c>
      <c r="L71" s="52">
        <f t="shared" si="1"/>
        <v>157214.626079</v>
      </c>
    </row>
    <row r="72" ht="15.6" spans="1:12">
      <c r="A72" s="51">
        <v>1</v>
      </c>
      <c r="B72" s="50" t="s">
        <v>57</v>
      </c>
      <c r="C72" s="50" t="s">
        <v>20</v>
      </c>
      <c r="D72" s="50" t="s">
        <v>58</v>
      </c>
      <c r="E72" s="50">
        <v>69</v>
      </c>
      <c r="F72" s="50">
        <f>[1]标准人!B70*1.8</f>
        <v>5076</v>
      </c>
      <c r="G72" s="50">
        <f>[1]标准人!C70*1.45</f>
        <v>1811.572</v>
      </c>
      <c r="H72" s="50">
        <f>[1]标准人!D70*0.86</f>
        <v>13416</v>
      </c>
      <c r="I72" s="51">
        <v>0.4</v>
      </c>
      <c r="J72" s="51">
        <v>2</v>
      </c>
      <c r="K72" s="51">
        <v>1</v>
      </c>
      <c r="L72" s="52">
        <f t="shared" si="1"/>
        <v>159284.511916</v>
      </c>
    </row>
    <row r="73" ht="15.6" spans="1:12">
      <c r="A73" s="51">
        <v>1</v>
      </c>
      <c r="B73" s="50" t="s">
        <v>57</v>
      </c>
      <c r="C73" s="50" t="s">
        <v>20</v>
      </c>
      <c r="D73" s="50" t="s">
        <v>58</v>
      </c>
      <c r="E73" s="50">
        <v>70</v>
      </c>
      <c r="F73" s="50">
        <f>[1]标准人!B71*1.8</f>
        <v>5148</v>
      </c>
      <c r="G73" s="50">
        <f>[1]标准人!C71*1.45</f>
        <v>1827.551</v>
      </c>
      <c r="H73" s="50">
        <f>[1]标准人!D71*0.86</f>
        <v>13588</v>
      </c>
      <c r="I73" s="51">
        <v>0.4</v>
      </c>
      <c r="J73" s="51">
        <v>2</v>
      </c>
      <c r="K73" s="51">
        <v>1</v>
      </c>
      <c r="L73" s="52">
        <f t="shared" si="1"/>
        <v>161354.397753</v>
      </c>
    </row>
    <row r="74" ht="15.6" spans="1:12">
      <c r="A74" s="51">
        <v>1</v>
      </c>
      <c r="B74" s="50" t="s">
        <v>57</v>
      </c>
      <c r="C74" s="50" t="s">
        <v>20</v>
      </c>
      <c r="D74" s="50" t="s">
        <v>58</v>
      </c>
      <c r="E74" s="50">
        <v>71</v>
      </c>
      <c r="F74" s="50">
        <f>[1]标准人!B72*1.8</f>
        <v>5220</v>
      </c>
      <c r="G74" s="50">
        <f>[1]标准人!C72*1.45</f>
        <v>1843.53</v>
      </c>
      <c r="H74" s="50">
        <f>[1]标准人!D72*0.86</f>
        <v>13760</v>
      </c>
      <c r="I74" s="51">
        <v>0.4</v>
      </c>
      <c r="J74" s="51">
        <v>2</v>
      </c>
      <c r="K74" s="51">
        <v>1</v>
      </c>
      <c r="L74" s="52">
        <f t="shared" si="1"/>
        <v>163424.28359</v>
      </c>
    </row>
    <row r="75" ht="15.6" spans="1:12">
      <c r="A75" s="51">
        <v>1</v>
      </c>
      <c r="B75" s="50" t="s">
        <v>57</v>
      </c>
      <c r="C75" s="50" t="s">
        <v>20</v>
      </c>
      <c r="D75" s="50" t="s">
        <v>58</v>
      </c>
      <c r="E75" s="50">
        <v>72</v>
      </c>
      <c r="F75" s="50">
        <f>[1]标准人!B73*1.8</f>
        <v>5292</v>
      </c>
      <c r="G75" s="50">
        <f>[1]标准人!C73*1.45</f>
        <v>1859.509</v>
      </c>
      <c r="H75" s="50">
        <f>[1]标准人!D73*0.86</f>
        <v>13932</v>
      </c>
      <c r="I75" s="51">
        <v>0.4</v>
      </c>
      <c r="J75" s="51">
        <v>2</v>
      </c>
      <c r="K75" s="51">
        <v>1</v>
      </c>
      <c r="L75" s="52">
        <f t="shared" si="1"/>
        <v>165494.169427</v>
      </c>
    </row>
    <row r="76" ht="15.6" spans="1:12">
      <c r="A76" s="51">
        <v>1</v>
      </c>
      <c r="B76" s="50" t="s">
        <v>57</v>
      </c>
      <c r="C76" s="50" t="s">
        <v>20</v>
      </c>
      <c r="D76" s="50" t="s">
        <v>58</v>
      </c>
      <c r="E76" s="50">
        <v>73</v>
      </c>
      <c r="F76" s="50">
        <f>[1]标准人!B74*1.8</f>
        <v>5364</v>
      </c>
      <c r="G76" s="50">
        <f>[1]标准人!C74*1.45</f>
        <v>1875.488</v>
      </c>
      <c r="H76" s="50">
        <f>[1]标准人!D74*0.86</f>
        <v>14104</v>
      </c>
      <c r="I76" s="51">
        <v>0.4</v>
      </c>
      <c r="J76" s="51">
        <v>2</v>
      </c>
      <c r="K76" s="51">
        <v>1</v>
      </c>
      <c r="L76" s="52">
        <f t="shared" si="1"/>
        <v>167564.055264</v>
      </c>
    </row>
    <row r="77" ht="15.6" spans="1:12">
      <c r="A77" s="51">
        <v>1</v>
      </c>
      <c r="B77" s="50" t="s">
        <v>57</v>
      </c>
      <c r="C77" s="50" t="s">
        <v>20</v>
      </c>
      <c r="D77" s="50" t="s">
        <v>58</v>
      </c>
      <c r="E77" s="50">
        <v>74</v>
      </c>
      <c r="F77" s="50">
        <f>[1]标准人!B75*1.8</f>
        <v>5436</v>
      </c>
      <c r="G77" s="50">
        <f>[1]标准人!C75*1.45</f>
        <v>1891.467</v>
      </c>
      <c r="H77" s="50">
        <f>[1]标准人!D75*0.86</f>
        <v>14276</v>
      </c>
      <c r="I77" s="51">
        <v>0.4</v>
      </c>
      <c r="J77" s="51">
        <v>2</v>
      </c>
      <c r="K77" s="51">
        <v>1</v>
      </c>
      <c r="L77" s="52">
        <f t="shared" si="1"/>
        <v>169633.941101</v>
      </c>
    </row>
    <row r="78" ht="15.6" spans="1:12">
      <c r="A78" s="51">
        <v>1</v>
      </c>
      <c r="B78" s="50" t="s">
        <v>57</v>
      </c>
      <c r="C78" s="50" t="s">
        <v>20</v>
      </c>
      <c r="D78" s="50" t="s">
        <v>58</v>
      </c>
      <c r="E78" s="50">
        <v>75</v>
      </c>
      <c r="F78" s="50">
        <f>[1]标准人!B76*1.8</f>
        <v>5508</v>
      </c>
      <c r="G78" s="50">
        <f>[1]标准人!C76*1.45</f>
        <v>1907.446</v>
      </c>
      <c r="H78" s="50">
        <f>[1]标准人!D76*0.86</f>
        <v>14448</v>
      </c>
      <c r="I78" s="51">
        <v>0.4</v>
      </c>
      <c r="J78" s="51">
        <v>2</v>
      </c>
      <c r="K78" s="51">
        <v>1</v>
      </c>
      <c r="L78" s="52">
        <f t="shared" si="1"/>
        <v>171703.826938</v>
      </c>
    </row>
    <row r="79" ht="15.6" spans="1:12">
      <c r="A79" s="51">
        <v>1</v>
      </c>
      <c r="B79" s="50" t="s">
        <v>57</v>
      </c>
      <c r="C79" s="50" t="s">
        <v>20</v>
      </c>
      <c r="D79" s="50" t="s">
        <v>58</v>
      </c>
      <c r="E79" s="50">
        <v>76</v>
      </c>
      <c r="F79" s="50">
        <f>[1]标准人!B77*1.8</f>
        <v>5580</v>
      </c>
      <c r="G79" s="50">
        <f>[1]标准人!C77*1.45</f>
        <v>1923.425</v>
      </c>
      <c r="H79" s="50">
        <f>[1]标准人!D77*0.86</f>
        <v>14620</v>
      </c>
      <c r="I79" s="51">
        <v>0.4</v>
      </c>
      <c r="J79" s="51">
        <v>2</v>
      </c>
      <c r="K79" s="51">
        <v>1</v>
      </c>
      <c r="L79" s="52">
        <f t="shared" si="1"/>
        <v>173773.712775</v>
      </c>
    </row>
    <row r="80" ht="15.6" spans="1:12">
      <c r="A80" s="51">
        <v>1</v>
      </c>
      <c r="B80" s="50" t="s">
        <v>57</v>
      </c>
      <c r="C80" s="50" t="s">
        <v>20</v>
      </c>
      <c r="D80" s="50" t="s">
        <v>58</v>
      </c>
      <c r="E80" s="50">
        <v>77</v>
      </c>
      <c r="F80" s="50">
        <f>[1]标准人!B78*1.8</f>
        <v>5652</v>
      </c>
      <c r="G80" s="50">
        <f>[1]标准人!C78*1.45</f>
        <v>1939.404</v>
      </c>
      <c r="H80" s="50">
        <f>[1]标准人!D78*0.86</f>
        <v>14792</v>
      </c>
      <c r="I80" s="51">
        <v>0.4</v>
      </c>
      <c r="J80" s="51">
        <v>2</v>
      </c>
      <c r="K80" s="51">
        <v>1</v>
      </c>
      <c r="L80" s="52">
        <f t="shared" si="1"/>
        <v>175843.598612</v>
      </c>
    </row>
    <row r="81" ht="15.6" spans="1:12">
      <c r="A81" s="51">
        <v>1</v>
      </c>
      <c r="B81" s="50" t="s">
        <v>57</v>
      </c>
      <c r="C81" s="50" t="s">
        <v>20</v>
      </c>
      <c r="D81" s="50" t="s">
        <v>58</v>
      </c>
      <c r="E81" s="50">
        <v>78</v>
      </c>
      <c r="F81" s="50">
        <f>[1]标准人!B79*1.8</f>
        <v>5724</v>
      </c>
      <c r="G81" s="50">
        <f>[1]标准人!C79*1.45</f>
        <v>1955.383</v>
      </c>
      <c r="H81" s="50">
        <f>[1]标准人!D79*0.86</f>
        <v>14964</v>
      </c>
      <c r="I81" s="51">
        <v>0.4</v>
      </c>
      <c r="J81" s="51">
        <v>2</v>
      </c>
      <c r="K81" s="51">
        <v>1</v>
      </c>
      <c r="L81" s="52">
        <f t="shared" si="1"/>
        <v>177913.484449</v>
      </c>
    </row>
    <row r="82" ht="15.6" spans="1:12">
      <c r="A82" s="51">
        <v>1</v>
      </c>
      <c r="B82" s="50" t="s">
        <v>57</v>
      </c>
      <c r="C82" s="50" t="s">
        <v>20</v>
      </c>
      <c r="D82" s="50" t="s">
        <v>58</v>
      </c>
      <c r="E82" s="50">
        <v>79</v>
      </c>
      <c r="F82" s="50">
        <f>[1]标准人!B80*1.8</f>
        <v>5796</v>
      </c>
      <c r="G82" s="50">
        <f>[1]标准人!C80*1.45</f>
        <v>1971.362</v>
      </c>
      <c r="H82" s="50">
        <f>[1]标准人!D80*0.86</f>
        <v>15136</v>
      </c>
      <c r="I82" s="51">
        <v>0.4</v>
      </c>
      <c r="J82" s="51">
        <v>2</v>
      </c>
      <c r="K82" s="51">
        <v>1</v>
      </c>
      <c r="L82" s="52">
        <f t="shared" si="1"/>
        <v>179983.370286</v>
      </c>
    </row>
    <row r="83" ht="15.6" spans="1:12">
      <c r="A83" s="51">
        <v>1</v>
      </c>
      <c r="B83" s="50" t="s">
        <v>57</v>
      </c>
      <c r="C83" s="50" t="s">
        <v>20</v>
      </c>
      <c r="D83" s="50" t="s">
        <v>58</v>
      </c>
      <c r="E83" s="50">
        <v>80</v>
      </c>
      <c r="F83" s="50">
        <f>[1]标准人!B81*1.8</f>
        <v>5868</v>
      </c>
      <c r="G83" s="50">
        <f>[1]标准人!C81*1.45</f>
        <v>1987.341</v>
      </c>
      <c r="H83" s="50">
        <f>[1]标准人!D81*0.86</f>
        <v>15308</v>
      </c>
      <c r="I83" s="51">
        <v>0.4</v>
      </c>
      <c r="J83" s="51">
        <v>2</v>
      </c>
      <c r="K83" s="51">
        <v>1</v>
      </c>
      <c r="L83" s="52">
        <f t="shared" si="1"/>
        <v>182053.256123</v>
      </c>
    </row>
    <row r="84" ht="15.6" spans="1:12">
      <c r="A84" s="51">
        <v>2</v>
      </c>
      <c r="B84" s="51" t="s">
        <v>59</v>
      </c>
      <c r="C84" s="50" t="s">
        <v>20</v>
      </c>
      <c r="D84" s="51" t="s">
        <v>60</v>
      </c>
      <c r="E84" s="50">
        <v>1</v>
      </c>
      <c r="F84" s="50">
        <f>[1]标准人!B2*0.76</f>
        <v>76</v>
      </c>
      <c r="G84" s="50">
        <f>[1]标准人!C2*1.33</f>
        <v>665</v>
      </c>
      <c r="H84" s="52">
        <f>[1]标准人!D2*2</f>
        <v>4000</v>
      </c>
      <c r="I84" s="51">
        <v>0.4</v>
      </c>
      <c r="J84" s="51">
        <v>2</v>
      </c>
      <c r="K84" s="51">
        <v>1</v>
      </c>
      <c r="L84" s="52">
        <f t="shared" si="1"/>
        <v>19717.1428571429</v>
      </c>
    </row>
    <row r="85" ht="15.6" spans="1:12">
      <c r="A85" s="51">
        <v>2</v>
      </c>
      <c r="B85" s="51" t="s">
        <v>59</v>
      </c>
      <c r="C85" s="50" t="s">
        <v>20</v>
      </c>
      <c r="D85" s="51" t="s">
        <v>60</v>
      </c>
      <c r="E85" s="50">
        <v>2</v>
      </c>
      <c r="F85" s="50">
        <f>[1]标准人!B3*0.76</f>
        <v>106.4</v>
      </c>
      <c r="G85" s="50">
        <f>[1]标准人!C3*1.33</f>
        <v>679.6566</v>
      </c>
      <c r="H85" s="52">
        <f>[1]标准人!D3*2</f>
        <v>4400</v>
      </c>
      <c r="I85" s="51">
        <v>0.4</v>
      </c>
      <c r="J85" s="51">
        <v>2</v>
      </c>
      <c r="K85" s="51">
        <v>1</v>
      </c>
      <c r="L85" s="52">
        <f t="shared" si="1"/>
        <v>21650.3396190476</v>
      </c>
    </row>
    <row r="86" ht="15.6" spans="1:12">
      <c r="A86" s="51">
        <v>2</v>
      </c>
      <c r="B86" s="51" t="s">
        <v>59</v>
      </c>
      <c r="C86" s="50" t="s">
        <v>20</v>
      </c>
      <c r="D86" s="51" t="s">
        <v>60</v>
      </c>
      <c r="E86" s="50">
        <v>3</v>
      </c>
      <c r="F86" s="50">
        <f>[1]标准人!B4*0.76</f>
        <v>136.8</v>
      </c>
      <c r="G86" s="50">
        <f>[1]标准人!C4*1.33</f>
        <v>694.3132</v>
      </c>
      <c r="H86" s="52">
        <f>[1]标准人!D4*2</f>
        <v>4800</v>
      </c>
      <c r="I86" s="51">
        <v>0.4</v>
      </c>
      <c r="J86" s="51">
        <v>2</v>
      </c>
      <c r="K86" s="51">
        <v>1</v>
      </c>
      <c r="L86" s="52">
        <f t="shared" si="1"/>
        <v>23583.5363809524</v>
      </c>
    </row>
    <row r="87" ht="15.6" spans="1:12">
      <c r="A87" s="51">
        <v>2</v>
      </c>
      <c r="B87" s="51" t="s">
        <v>59</v>
      </c>
      <c r="C87" s="50" t="s">
        <v>20</v>
      </c>
      <c r="D87" s="51" t="s">
        <v>60</v>
      </c>
      <c r="E87" s="50">
        <v>4</v>
      </c>
      <c r="F87" s="50">
        <f>[1]标准人!B5*0.76</f>
        <v>167.2</v>
      </c>
      <c r="G87" s="50">
        <f>[1]标准人!C5*1.33</f>
        <v>708.9698</v>
      </c>
      <c r="H87" s="52">
        <f>[1]标准人!D5*2</f>
        <v>5200</v>
      </c>
      <c r="I87" s="51">
        <v>0.4</v>
      </c>
      <c r="J87" s="51">
        <v>2</v>
      </c>
      <c r="K87" s="51">
        <v>1</v>
      </c>
      <c r="L87" s="52">
        <f t="shared" si="1"/>
        <v>25516.7331428571</v>
      </c>
    </row>
    <row r="88" ht="15.6" spans="1:12">
      <c r="A88" s="51">
        <v>2</v>
      </c>
      <c r="B88" s="51" t="s">
        <v>59</v>
      </c>
      <c r="C88" s="50" t="s">
        <v>20</v>
      </c>
      <c r="D88" s="51" t="s">
        <v>60</v>
      </c>
      <c r="E88" s="50">
        <v>5</v>
      </c>
      <c r="F88" s="50">
        <f>[1]标准人!B6*0.76</f>
        <v>197.6</v>
      </c>
      <c r="G88" s="50">
        <f>[1]标准人!C6*1.33</f>
        <v>723.6264</v>
      </c>
      <c r="H88" s="52">
        <f>[1]标准人!D6*2</f>
        <v>5600</v>
      </c>
      <c r="I88" s="51">
        <v>0.4</v>
      </c>
      <c r="J88" s="51">
        <v>2</v>
      </c>
      <c r="K88" s="51">
        <v>1</v>
      </c>
      <c r="L88" s="52">
        <f t="shared" si="1"/>
        <v>27449.9299047619</v>
      </c>
    </row>
    <row r="89" ht="15.6" spans="1:12">
      <c r="A89" s="51">
        <v>2</v>
      </c>
      <c r="B89" s="51" t="s">
        <v>59</v>
      </c>
      <c r="C89" s="50" t="s">
        <v>20</v>
      </c>
      <c r="D89" s="51" t="s">
        <v>60</v>
      </c>
      <c r="E89" s="50">
        <v>6</v>
      </c>
      <c r="F89" s="50">
        <f>[1]标准人!B7*0.76</f>
        <v>228</v>
      </c>
      <c r="G89" s="50">
        <f>[1]标准人!C7*1.33</f>
        <v>738.283</v>
      </c>
      <c r="H89" s="52">
        <f>[1]标准人!D7*2</f>
        <v>6000</v>
      </c>
      <c r="I89" s="51">
        <v>0.4</v>
      </c>
      <c r="J89" s="51">
        <v>2</v>
      </c>
      <c r="K89" s="51">
        <v>1</v>
      </c>
      <c r="L89" s="52">
        <f t="shared" si="1"/>
        <v>29383.1266666667</v>
      </c>
    </row>
    <row r="90" ht="15.6" spans="1:12">
      <c r="A90" s="51">
        <v>2</v>
      </c>
      <c r="B90" s="51" t="s">
        <v>59</v>
      </c>
      <c r="C90" s="50" t="s">
        <v>20</v>
      </c>
      <c r="D90" s="51" t="s">
        <v>60</v>
      </c>
      <c r="E90" s="50">
        <v>7</v>
      </c>
      <c r="F90" s="50">
        <f>[1]标准人!B8*0.76</f>
        <v>258.4</v>
      </c>
      <c r="G90" s="50">
        <f>[1]标准人!C8*1.33</f>
        <v>752.9396</v>
      </c>
      <c r="H90" s="52">
        <f>[1]标准人!D8*2</f>
        <v>6400</v>
      </c>
      <c r="I90" s="51">
        <v>0.4</v>
      </c>
      <c r="J90" s="51">
        <v>2</v>
      </c>
      <c r="K90" s="51">
        <v>1</v>
      </c>
      <c r="L90" s="52">
        <f t="shared" si="1"/>
        <v>31316.3234285714</v>
      </c>
    </row>
    <row r="91" ht="15.6" spans="1:12">
      <c r="A91" s="51">
        <v>2</v>
      </c>
      <c r="B91" s="51" t="s">
        <v>59</v>
      </c>
      <c r="C91" s="50" t="s">
        <v>20</v>
      </c>
      <c r="D91" s="51" t="s">
        <v>60</v>
      </c>
      <c r="E91" s="50">
        <v>8</v>
      </c>
      <c r="F91" s="50">
        <f>[1]标准人!B9*0.76</f>
        <v>288.8</v>
      </c>
      <c r="G91" s="50">
        <f>[1]标准人!C9*1.33</f>
        <v>767.5962</v>
      </c>
      <c r="H91" s="52">
        <f>[1]标准人!D9*2</f>
        <v>6800</v>
      </c>
      <c r="I91" s="51">
        <v>0.4</v>
      </c>
      <c r="J91" s="51">
        <v>2</v>
      </c>
      <c r="K91" s="51">
        <v>1</v>
      </c>
      <c r="L91" s="52">
        <f t="shared" si="1"/>
        <v>33249.5201904762</v>
      </c>
    </row>
    <row r="92" ht="15.6" spans="1:12">
      <c r="A92" s="51">
        <v>2</v>
      </c>
      <c r="B92" s="51" t="s">
        <v>59</v>
      </c>
      <c r="C92" s="50" t="s">
        <v>20</v>
      </c>
      <c r="D92" s="51" t="s">
        <v>60</v>
      </c>
      <c r="E92" s="50">
        <v>9</v>
      </c>
      <c r="F92" s="50">
        <f>[1]标准人!B10*0.76</f>
        <v>319.2</v>
      </c>
      <c r="G92" s="50">
        <f>[1]标准人!C10*1.33</f>
        <v>782.2528</v>
      </c>
      <c r="H92" s="52">
        <f>[1]标准人!D10*2</f>
        <v>7200</v>
      </c>
      <c r="I92" s="51">
        <v>0.4</v>
      </c>
      <c r="J92" s="51">
        <v>2</v>
      </c>
      <c r="K92" s="51">
        <v>1</v>
      </c>
      <c r="L92" s="52">
        <f t="shared" si="1"/>
        <v>35182.7169523809</v>
      </c>
    </row>
    <row r="93" ht="15.6" spans="1:12">
      <c r="A93" s="51">
        <v>2</v>
      </c>
      <c r="B93" s="51" t="s">
        <v>59</v>
      </c>
      <c r="C93" s="50" t="s">
        <v>20</v>
      </c>
      <c r="D93" s="51" t="s">
        <v>60</v>
      </c>
      <c r="E93" s="50">
        <v>10</v>
      </c>
      <c r="F93" s="50">
        <f>[1]标准人!B11*0.76</f>
        <v>349.6</v>
      </c>
      <c r="G93" s="50">
        <f>[1]标准人!C11*1.33</f>
        <v>796.9094</v>
      </c>
      <c r="H93" s="52">
        <f>[1]标准人!D11*2</f>
        <v>7600</v>
      </c>
      <c r="I93" s="51">
        <v>0.4</v>
      </c>
      <c r="J93" s="51">
        <v>2</v>
      </c>
      <c r="K93" s="51">
        <v>1</v>
      </c>
      <c r="L93" s="52">
        <f t="shared" si="1"/>
        <v>37115.9137142857</v>
      </c>
    </row>
    <row r="94" ht="15.6" spans="1:12">
      <c r="A94" s="51">
        <v>2</v>
      </c>
      <c r="B94" s="51" t="s">
        <v>59</v>
      </c>
      <c r="C94" s="50" t="s">
        <v>20</v>
      </c>
      <c r="D94" s="51" t="s">
        <v>60</v>
      </c>
      <c r="E94" s="50">
        <v>11</v>
      </c>
      <c r="F94" s="50">
        <f>[1]标准人!B12*0.76</f>
        <v>380</v>
      </c>
      <c r="G94" s="50">
        <f>[1]标准人!C12*1.33</f>
        <v>811.566</v>
      </c>
      <c r="H94" s="52">
        <f>[1]标准人!D12*2</f>
        <v>8000</v>
      </c>
      <c r="I94" s="51">
        <v>0.4</v>
      </c>
      <c r="J94" s="51">
        <v>2</v>
      </c>
      <c r="K94" s="51">
        <v>1</v>
      </c>
      <c r="L94" s="52">
        <f t="shared" si="1"/>
        <v>39049.1104761905</v>
      </c>
    </row>
    <row r="95" ht="15.6" spans="1:12">
      <c r="A95" s="51">
        <v>2</v>
      </c>
      <c r="B95" s="51" t="s">
        <v>59</v>
      </c>
      <c r="C95" s="50" t="s">
        <v>20</v>
      </c>
      <c r="D95" s="51" t="s">
        <v>60</v>
      </c>
      <c r="E95" s="50">
        <v>12</v>
      </c>
      <c r="F95" s="50">
        <f>[1]标准人!B13*0.76</f>
        <v>410.4</v>
      </c>
      <c r="G95" s="50">
        <f>[1]标准人!C13*1.33</f>
        <v>826.2226</v>
      </c>
      <c r="H95" s="52">
        <f>[1]标准人!D13*2</f>
        <v>8400</v>
      </c>
      <c r="I95" s="51">
        <v>0.4</v>
      </c>
      <c r="J95" s="51">
        <v>2</v>
      </c>
      <c r="K95" s="51">
        <v>1</v>
      </c>
      <c r="L95" s="52">
        <f t="shared" si="1"/>
        <v>40982.3072380952</v>
      </c>
    </row>
    <row r="96" ht="15.6" spans="1:12">
      <c r="A96" s="51">
        <v>2</v>
      </c>
      <c r="B96" s="51" t="s">
        <v>59</v>
      </c>
      <c r="C96" s="50" t="s">
        <v>20</v>
      </c>
      <c r="D96" s="51" t="s">
        <v>60</v>
      </c>
      <c r="E96" s="50">
        <v>13</v>
      </c>
      <c r="F96" s="50">
        <f>[1]标准人!B14*0.76</f>
        <v>440.8</v>
      </c>
      <c r="G96" s="50">
        <f>[1]标准人!C14*1.33</f>
        <v>840.8792</v>
      </c>
      <c r="H96" s="52">
        <f>[1]标准人!D14*2</f>
        <v>8800</v>
      </c>
      <c r="I96" s="51">
        <v>0.4</v>
      </c>
      <c r="J96" s="51">
        <v>2</v>
      </c>
      <c r="K96" s="51">
        <v>1</v>
      </c>
      <c r="L96" s="52">
        <f t="shared" si="1"/>
        <v>42915.504</v>
      </c>
    </row>
    <row r="97" ht="15.6" spans="1:12">
      <c r="A97" s="51">
        <v>2</v>
      </c>
      <c r="B97" s="51" t="s">
        <v>59</v>
      </c>
      <c r="C97" s="50" t="s">
        <v>20</v>
      </c>
      <c r="D97" s="51" t="s">
        <v>60</v>
      </c>
      <c r="E97" s="50">
        <v>14</v>
      </c>
      <c r="F97" s="50">
        <f>[1]标准人!B15*0.76</f>
        <v>471.2</v>
      </c>
      <c r="G97" s="50">
        <f>[1]标准人!C15*1.33</f>
        <v>855.5358</v>
      </c>
      <c r="H97" s="52">
        <f>[1]标准人!D15*2</f>
        <v>9200</v>
      </c>
      <c r="I97" s="51">
        <v>0.4</v>
      </c>
      <c r="J97" s="51">
        <v>2</v>
      </c>
      <c r="K97" s="51">
        <v>1</v>
      </c>
      <c r="L97" s="52">
        <f t="shared" si="1"/>
        <v>44848.7007619048</v>
      </c>
    </row>
    <row r="98" ht="15.6" spans="1:12">
      <c r="A98" s="51">
        <v>2</v>
      </c>
      <c r="B98" s="51" t="s">
        <v>59</v>
      </c>
      <c r="C98" s="50" t="s">
        <v>20</v>
      </c>
      <c r="D98" s="51" t="s">
        <v>60</v>
      </c>
      <c r="E98" s="50">
        <v>15</v>
      </c>
      <c r="F98" s="50">
        <f>[1]标准人!B16*0.76</f>
        <v>501.6</v>
      </c>
      <c r="G98" s="50">
        <f>[1]标准人!C16*1.33</f>
        <v>870.1924</v>
      </c>
      <c r="H98" s="52">
        <f>[1]标准人!D16*2</f>
        <v>9600</v>
      </c>
      <c r="I98" s="51">
        <v>0.4</v>
      </c>
      <c r="J98" s="51">
        <v>2</v>
      </c>
      <c r="K98" s="51">
        <v>1</v>
      </c>
      <c r="L98" s="52">
        <f t="shared" si="1"/>
        <v>46781.8975238095</v>
      </c>
    </row>
    <row r="99" ht="15.6" spans="1:12">
      <c r="A99" s="51">
        <v>2</v>
      </c>
      <c r="B99" s="51" t="s">
        <v>59</v>
      </c>
      <c r="C99" s="50" t="s">
        <v>20</v>
      </c>
      <c r="D99" s="51" t="s">
        <v>60</v>
      </c>
      <c r="E99" s="50">
        <v>16</v>
      </c>
      <c r="F99" s="50">
        <f>[1]标准人!B17*0.76</f>
        <v>532</v>
      </c>
      <c r="G99" s="50">
        <f>[1]标准人!C17*1.33</f>
        <v>884.849</v>
      </c>
      <c r="H99" s="52">
        <f>[1]标准人!D17*2</f>
        <v>10000</v>
      </c>
      <c r="I99" s="51">
        <v>0.4</v>
      </c>
      <c r="J99" s="51">
        <v>2</v>
      </c>
      <c r="K99" s="51">
        <v>1</v>
      </c>
      <c r="L99" s="52">
        <f t="shared" si="1"/>
        <v>48715.0942857143</v>
      </c>
    </row>
    <row r="100" ht="15.6" spans="1:12">
      <c r="A100" s="51">
        <v>2</v>
      </c>
      <c r="B100" s="51" t="s">
        <v>59</v>
      </c>
      <c r="C100" s="50" t="s">
        <v>20</v>
      </c>
      <c r="D100" s="51" t="s">
        <v>60</v>
      </c>
      <c r="E100" s="50">
        <v>17</v>
      </c>
      <c r="F100" s="50">
        <f>[1]标准人!B18*0.76</f>
        <v>562.4</v>
      </c>
      <c r="G100" s="50">
        <f>[1]标准人!C18*1.33</f>
        <v>899.5056</v>
      </c>
      <c r="H100" s="52">
        <f>[1]标准人!D18*2</f>
        <v>10400</v>
      </c>
      <c r="I100" s="51">
        <v>0.4</v>
      </c>
      <c r="J100" s="51">
        <v>2</v>
      </c>
      <c r="K100" s="51">
        <v>1</v>
      </c>
      <c r="L100" s="52">
        <f t="shared" si="1"/>
        <v>50648.291047619</v>
      </c>
    </row>
    <row r="101" ht="15.6" spans="1:12">
      <c r="A101" s="51">
        <v>2</v>
      </c>
      <c r="B101" s="51" t="s">
        <v>59</v>
      </c>
      <c r="C101" s="50" t="s">
        <v>20</v>
      </c>
      <c r="D101" s="51" t="s">
        <v>60</v>
      </c>
      <c r="E101" s="50">
        <v>18</v>
      </c>
      <c r="F101" s="50">
        <f>[1]标准人!B19*0.76</f>
        <v>592.8</v>
      </c>
      <c r="G101" s="50">
        <f>[1]标准人!C19*1.33</f>
        <v>914.1622</v>
      </c>
      <c r="H101" s="52">
        <f>[1]标准人!D19*2</f>
        <v>10800</v>
      </c>
      <c r="I101" s="51">
        <v>0.4</v>
      </c>
      <c r="J101" s="51">
        <v>2</v>
      </c>
      <c r="K101" s="51">
        <v>1</v>
      </c>
      <c r="L101" s="52">
        <f t="shared" si="1"/>
        <v>52581.4878095238</v>
      </c>
    </row>
    <row r="102" ht="15.6" spans="1:12">
      <c r="A102" s="51">
        <v>2</v>
      </c>
      <c r="B102" s="51" t="s">
        <v>59</v>
      </c>
      <c r="C102" s="50" t="s">
        <v>20</v>
      </c>
      <c r="D102" s="51" t="s">
        <v>60</v>
      </c>
      <c r="E102" s="50">
        <v>19</v>
      </c>
      <c r="F102" s="50">
        <f>[1]标准人!B20*0.76</f>
        <v>623.2</v>
      </c>
      <c r="G102" s="50">
        <f>[1]标准人!C20*1.33</f>
        <v>928.8188</v>
      </c>
      <c r="H102" s="52">
        <f>[1]标准人!D20*2</f>
        <v>11200</v>
      </c>
      <c r="I102" s="51">
        <v>0.4</v>
      </c>
      <c r="J102" s="51">
        <v>2</v>
      </c>
      <c r="K102" s="51">
        <v>1</v>
      </c>
      <c r="L102" s="52">
        <f t="shared" si="1"/>
        <v>54514.6845714286</v>
      </c>
    </row>
    <row r="103" ht="15.6" spans="1:12">
      <c r="A103" s="51">
        <v>2</v>
      </c>
      <c r="B103" s="51" t="s">
        <v>59</v>
      </c>
      <c r="C103" s="50" t="s">
        <v>20</v>
      </c>
      <c r="D103" s="51" t="s">
        <v>60</v>
      </c>
      <c r="E103" s="50">
        <v>20</v>
      </c>
      <c r="F103" s="50">
        <f>[1]标准人!B21*0.76</f>
        <v>653.6</v>
      </c>
      <c r="G103" s="50">
        <f>[1]标准人!C21*1.33</f>
        <v>943.4754</v>
      </c>
      <c r="H103" s="52">
        <f>[1]标准人!D21*2</f>
        <v>11600</v>
      </c>
      <c r="I103" s="51">
        <v>0.4</v>
      </c>
      <c r="J103" s="51">
        <v>2</v>
      </c>
      <c r="K103" s="51">
        <v>1</v>
      </c>
      <c r="L103" s="52">
        <f t="shared" si="1"/>
        <v>56447.8813333333</v>
      </c>
    </row>
    <row r="104" ht="15.6" spans="1:12">
      <c r="A104" s="51">
        <v>2</v>
      </c>
      <c r="B104" s="51" t="s">
        <v>59</v>
      </c>
      <c r="C104" s="50" t="s">
        <v>20</v>
      </c>
      <c r="D104" s="51" t="s">
        <v>60</v>
      </c>
      <c r="E104" s="50">
        <v>21</v>
      </c>
      <c r="F104" s="50">
        <f>[1]标准人!B22*0.76</f>
        <v>684</v>
      </c>
      <c r="G104" s="50">
        <f>[1]标准人!C22*1.33</f>
        <v>958.132</v>
      </c>
      <c r="H104" s="52">
        <f>[1]标准人!D22*2</f>
        <v>12000</v>
      </c>
      <c r="I104" s="51">
        <v>0.4</v>
      </c>
      <c r="J104" s="51">
        <v>2</v>
      </c>
      <c r="K104" s="51">
        <v>1</v>
      </c>
      <c r="L104" s="52">
        <f t="shared" si="1"/>
        <v>58381.0780952381</v>
      </c>
    </row>
    <row r="105" ht="15.6" spans="1:12">
      <c r="A105" s="51">
        <v>2</v>
      </c>
      <c r="B105" s="51" t="s">
        <v>59</v>
      </c>
      <c r="C105" s="50" t="s">
        <v>20</v>
      </c>
      <c r="D105" s="51" t="s">
        <v>60</v>
      </c>
      <c r="E105" s="50">
        <v>22</v>
      </c>
      <c r="F105" s="50">
        <f>[1]标准人!B23*0.76</f>
        <v>714.4</v>
      </c>
      <c r="G105" s="50">
        <f>[1]标准人!C23*1.33</f>
        <v>972.7886</v>
      </c>
      <c r="H105" s="52">
        <f>[1]标准人!D23*2</f>
        <v>12400</v>
      </c>
      <c r="I105" s="51">
        <v>0.4</v>
      </c>
      <c r="J105" s="51">
        <v>2</v>
      </c>
      <c r="K105" s="51">
        <v>1</v>
      </c>
      <c r="L105" s="52">
        <f t="shared" si="1"/>
        <v>60314.2748571429</v>
      </c>
    </row>
    <row r="106" ht="15.6" spans="1:12">
      <c r="A106" s="51">
        <v>2</v>
      </c>
      <c r="B106" s="51" t="s">
        <v>59</v>
      </c>
      <c r="C106" s="50" t="s">
        <v>20</v>
      </c>
      <c r="D106" s="51" t="s">
        <v>60</v>
      </c>
      <c r="E106" s="50">
        <v>23</v>
      </c>
      <c r="F106" s="50">
        <f>[1]标准人!B24*0.76</f>
        <v>744.8</v>
      </c>
      <c r="G106" s="50">
        <f>[1]标准人!C24*1.33</f>
        <v>987.4452</v>
      </c>
      <c r="H106" s="52">
        <f>[1]标准人!D24*2</f>
        <v>12800</v>
      </c>
      <c r="I106" s="51">
        <v>0.4</v>
      </c>
      <c r="J106" s="51">
        <v>2</v>
      </c>
      <c r="K106" s="51">
        <v>1</v>
      </c>
      <c r="L106" s="52">
        <f t="shared" si="1"/>
        <v>62247.4716190476</v>
      </c>
    </row>
    <row r="107" ht="15.6" spans="1:12">
      <c r="A107" s="51">
        <v>2</v>
      </c>
      <c r="B107" s="51" t="s">
        <v>59</v>
      </c>
      <c r="C107" s="50" t="s">
        <v>20</v>
      </c>
      <c r="D107" s="51" t="s">
        <v>60</v>
      </c>
      <c r="E107" s="50">
        <v>24</v>
      </c>
      <c r="F107" s="50">
        <f>[1]标准人!B25*0.76</f>
        <v>775.2</v>
      </c>
      <c r="G107" s="50">
        <f>[1]标准人!C25*1.33</f>
        <v>1002.1018</v>
      </c>
      <c r="H107" s="52">
        <f>[1]标准人!D25*2</f>
        <v>13200</v>
      </c>
      <c r="I107" s="51">
        <v>0.4</v>
      </c>
      <c r="J107" s="51">
        <v>2</v>
      </c>
      <c r="K107" s="51">
        <v>1</v>
      </c>
      <c r="L107" s="52">
        <f t="shared" si="1"/>
        <v>64180.6683809524</v>
      </c>
    </row>
    <row r="108" ht="15.6" spans="1:12">
      <c r="A108" s="51">
        <v>2</v>
      </c>
      <c r="B108" s="51" t="s">
        <v>59</v>
      </c>
      <c r="C108" s="50" t="s">
        <v>20</v>
      </c>
      <c r="D108" s="51" t="s">
        <v>60</v>
      </c>
      <c r="E108" s="50">
        <v>25</v>
      </c>
      <c r="F108" s="50">
        <f>[1]标准人!B26*0.76</f>
        <v>805.6</v>
      </c>
      <c r="G108" s="50">
        <f>[1]标准人!C26*1.33</f>
        <v>1016.7584</v>
      </c>
      <c r="H108" s="52">
        <f>[1]标准人!D26*2</f>
        <v>13600</v>
      </c>
      <c r="I108" s="51">
        <v>0.4</v>
      </c>
      <c r="J108" s="51">
        <v>2</v>
      </c>
      <c r="K108" s="51">
        <v>1</v>
      </c>
      <c r="L108" s="52">
        <f t="shared" si="1"/>
        <v>66113.8651428571</v>
      </c>
    </row>
    <row r="109" ht="15.6" spans="1:12">
      <c r="A109" s="51">
        <v>2</v>
      </c>
      <c r="B109" s="51" t="s">
        <v>59</v>
      </c>
      <c r="C109" s="50" t="s">
        <v>20</v>
      </c>
      <c r="D109" s="51" t="s">
        <v>60</v>
      </c>
      <c r="E109" s="50">
        <v>26</v>
      </c>
      <c r="F109" s="50">
        <f>[1]标准人!B27*0.76</f>
        <v>836</v>
      </c>
      <c r="G109" s="50">
        <f>[1]标准人!C27*1.33</f>
        <v>1031.415</v>
      </c>
      <c r="H109" s="52">
        <f>[1]标准人!D27*2</f>
        <v>14000</v>
      </c>
      <c r="I109" s="51">
        <v>0.4</v>
      </c>
      <c r="J109" s="51">
        <v>2</v>
      </c>
      <c r="K109" s="51">
        <v>1</v>
      </c>
      <c r="L109" s="52">
        <f t="shared" si="1"/>
        <v>68047.0619047619</v>
      </c>
    </row>
    <row r="110" ht="15.6" spans="1:12">
      <c r="A110" s="51">
        <v>2</v>
      </c>
      <c r="B110" s="51" t="s">
        <v>59</v>
      </c>
      <c r="C110" s="50" t="s">
        <v>20</v>
      </c>
      <c r="D110" s="51" t="s">
        <v>60</v>
      </c>
      <c r="E110" s="50">
        <v>27</v>
      </c>
      <c r="F110" s="50">
        <f>[1]标准人!B28*0.76</f>
        <v>866.4</v>
      </c>
      <c r="G110" s="50">
        <f>[1]标准人!C28*1.33</f>
        <v>1046.0716</v>
      </c>
      <c r="H110" s="52">
        <f>[1]标准人!D28*2</f>
        <v>14400</v>
      </c>
      <c r="I110" s="51">
        <v>0.4</v>
      </c>
      <c r="J110" s="51">
        <v>2</v>
      </c>
      <c r="K110" s="51">
        <v>1</v>
      </c>
      <c r="L110" s="52">
        <f t="shared" si="1"/>
        <v>69980.2586666667</v>
      </c>
    </row>
    <row r="111" ht="15.6" spans="1:12">
      <c r="A111" s="51">
        <v>2</v>
      </c>
      <c r="B111" s="51" t="s">
        <v>59</v>
      </c>
      <c r="C111" s="50" t="s">
        <v>20</v>
      </c>
      <c r="D111" s="51" t="s">
        <v>60</v>
      </c>
      <c r="E111" s="50">
        <v>28</v>
      </c>
      <c r="F111" s="50">
        <f>[1]标准人!B29*0.76</f>
        <v>896.8</v>
      </c>
      <c r="G111" s="50">
        <f>[1]标准人!C29*1.33</f>
        <v>1060.7282</v>
      </c>
      <c r="H111" s="52">
        <f>[1]标准人!D29*2</f>
        <v>14800</v>
      </c>
      <c r="I111" s="51">
        <v>0.4</v>
      </c>
      <c r="J111" s="51">
        <v>2</v>
      </c>
      <c r="K111" s="51">
        <v>1</v>
      </c>
      <c r="L111" s="52">
        <f t="shared" si="1"/>
        <v>71913.4554285714</v>
      </c>
    </row>
    <row r="112" ht="15.6" spans="1:12">
      <c r="A112" s="51">
        <v>2</v>
      </c>
      <c r="B112" s="51" t="s">
        <v>59</v>
      </c>
      <c r="C112" s="50" t="s">
        <v>20</v>
      </c>
      <c r="D112" s="51" t="s">
        <v>60</v>
      </c>
      <c r="E112" s="50">
        <v>29</v>
      </c>
      <c r="F112" s="50">
        <f>[1]标准人!B30*0.76</f>
        <v>927.2</v>
      </c>
      <c r="G112" s="50">
        <f>[1]标准人!C30*1.33</f>
        <v>1075.3848</v>
      </c>
      <c r="H112" s="52">
        <f>[1]标准人!D30*2</f>
        <v>15200</v>
      </c>
      <c r="I112" s="51">
        <v>0.4</v>
      </c>
      <c r="J112" s="51">
        <v>2</v>
      </c>
      <c r="K112" s="51">
        <v>1</v>
      </c>
      <c r="L112" s="52">
        <f t="shared" si="1"/>
        <v>73846.6521904762</v>
      </c>
    </row>
    <row r="113" ht="15.6" spans="1:12">
      <c r="A113" s="51">
        <v>2</v>
      </c>
      <c r="B113" s="51" t="s">
        <v>59</v>
      </c>
      <c r="C113" s="50" t="s">
        <v>20</v>
      </c>
      <c r="D113" s="51" t="s">
        <v>60</v>
      </c>
      <c r="E113" s="50">
        <v>30</v>
      </c>
      <c r="F113" s="50">
        <f>[1]标准人!B31*0.76</f>
        <v>957.6</v>
      </c>
      <c r="G113" s="50">
        <f>[1]标准人!C31*1.33</f>
        <v>1090.0414</v>
      </c>
      <c r="H113" s="52">
        <f>[1]标准人!D31*2</f>
        <v>15600</v>
      </c>
      <c r="I113" s="51">
        <v>0.4</v>
      </c>
      <c r="J113" s="51">
        <v>2</v>
      </c>
      <c r="K113" s="51">
        <v>1</v>
      </c>
      <c r="L113" s="52">
        <f t="shared" si="1"/>
        <v>75779.848952381</v>
      </c>
    </row>
    <row r="114" ht="15.6" spans="1:12">
      <c r="A114" s="51">
        <v>2</v>
      </c>
      <c r="B114" s="51" t="s">
        <v>59</v>
      </c>
      <c r="C114" s="50" t="s">
        <v>20</v>
      </c>
      <c r="D114" s="51" t="s">
        <v>60</v>
      </c>
      <c r="E114" s="50">
        <v>31</v>
      </c>
      <c r="F114" s="50">
        <f>[1]标准人!B32*0.76</f>
        <v>988</v>
      </c>
      <c r="G114" s="50">
        <f>[1]标准人!C32*1.33</f>
        <v>1104.698</v>
      </c>
      <c r="H114" s="52">
        <f>[1]标准人!D32*2</f>
        <v>16000</v>
      </c>
      <c r="I114" s="51">
        <v>0.4</v>
      </c>
      <c r="J114" s="51">
        <v>2</v>
      </c>
      <c r="K114" s="51">
        <v>1</v>
      </c>
      <c r="L114" s="52">
        <f t="shared" si="1"/>
        <v>77713.0457142857</v>
      </c>
    </row>
    <row r="115" ht="15.6" spans="1:12">
      <c r="A115" s="51">
        <v>2</v>
      </c>
      <c r="B115" s="51" t="s">
        <v>59</v>
      </c>
      <c r="C115" s="50" t="s">
        <v>20</v>
      </c>
      <c r="D115" s="51" t="s">
        <v>60</v>
      </c>
      <c r="E115" s="50">
        <v>32</v>
      </c>
      <c r="F115" s="50">
        <f>[1]标准人!B33*0.76</f>
        <v>1018.4</v>
      </c>
      <c r="G115" s="50">
        <f>[1]标准人!C33*1.33</f>
        <v>1119.3546</v>
      </c>
      <c r="H115" s="52">
        <f>[1]标准人!D33*2</f>
        <v>16400</v>
      </c>
      <c r="I115" s="51">
        <v>0.4</v>
      </c>
      <c r="J115" s="51">
        <v>2</v>
      </c>
      <c r="K115" s="51">
        <v>1</v>
      </c>
      <c r="L115" s="52">
        <f t="shared" si="1"/>
        <v>79646.2424761905</v>
      </c>
    </row>
    <row r="116" ht="15.6" spans="1:12">
      <c r="A116" s="51">
        <v>2</v>
      </c>
      <c r="B116" s="51" t="s">
        <v>59</v>
      </c>
      <c r="C116" s="50" t="s">
        <v>20</v>
      </c>
      <c r="D116" s="51" t="s">
        <v>60</v>
      </c>
      <c r="E116" s="50">
        <v>33</v>
      </c>
      <c r="F116" s="50">
        <f>[1]标准人!B34*0.76</f>
        <v>1048.8</v>
      </c>
      <c r="G116" s="50">
        <f>[1]标准人!C34*1.33</f>
        <v>1134.0112</v>
      </c>
      <c r="H116" s="52">
        <f>[1]标准人!D34*2</f>
        <v>16800</v>
      </c>
      <c r="I116" s="51">
        <v>0.4</v>
      </c>
      <c r="J116" s="51">
        <v>2</v>
      </c>
      <c r="K116" s="51">
        <v>1</v>
      </c>
      <c r="L116" s="52">
        <f t="shared" si="1"/>
        <v>81579.4392380952</v>
      </c>
    </row>
    <row r="117" ht="15.6" spans="1:12">
      <c r="A117" s="51">
        <v>2</v>
      </c>
      <c r="B117" s="51" t="s">
        <v>59</v>
      </c>
      <c r="C117" s="50" t="s">
        <v>20</v>
      </c>
      <c r="D117" s="51" t="s">
        <v>60</v>
      </c>
      <c r="E117" s="50">
        <v>34</v>
      </c>
      <c r="F117" s="50">
        <f>[1]标准人!B35*0.76</f>
        <v>1079.2</v>
      </c>
      <c r="G117" s="50">
        <f>[1]标准人!C35*1.33</f>
        <v>1148.6678</v>
      </c>
      <c r="H117" s="52">
        <f>[1]标准人!D35*2</f>
        <v>17200</v>
      </c>
      <c r="I117" s="51">
        <v>0.4</v>
      </c>
      <c r="J117" s="51">
        <v>2</v>
      </c>
      <c r="K117" s="51">
        <v>1</v>
      </c>
      <c r="L117" s="52">
        <f t="shared" si="1"/>
        <v>83512.636</v>
      </c>
    </row>
    <row r="118" ht="15.6" spans="1:12">
      <c r="A118" s="51">
        <v>2</v>
      </c>
      <c r="B118" s="51" t="s">
        <v>59</v>
      </c>
      <c r="C118" s="50" t="s">
        <v>20</v>
      </c>
      <c r="D118" s="51" t="s">
        <v>60</v>
      </c>
      <c r="E118" s="50">
        <v>35</v>
      </c>
      <c r="F118" s="50">
        <f>[1]标准人!B36*0.76</f>
        <v>1109.6</v>
      </c>
      <c r="G118" s="50">
        <f>[1]标准人!C36*1.33</f>
        <v>1163.3244</v>
      </c>
      <c r="H118" s="52">
        <f>[1]标准人!D36*2</f>
        <v>17600</v>
      </c>
      <c r="I118" s="51">
        <v>0.4</v>
      </c>
      <c r="J118" s="51">
        <v>2</v>
      </c>
      <c r="K118" s="51">
        <v>1</v>
      </c>
      <c r="L118" s="52">
        <f t="shared" si="1"/>
        <v>85445.8327619048</v>
      </c>
    </row>
    <row r="119" ht="15.6" spans="1:12">
      <c r="A119" s="51">
        <v>2</v>
      </c>
      <c r="B119" s="51" t="s">
        <v>59</v>
      </c>
      <c r="C119" s="50" t="s">
        <v>20</v>
      </c>
      <c r="D119" s="51" t="s">
        <v>60</v>
      </c>
      <c r="E119" s="50">
        <v>36</v>
      </c>
      <c r="F119" s="50">
        <f>[1]标准人!B37*0.76</f>
        <v>1140</v>
      </c>
      <c r="G119" s="50">
        <f>[1]标准人!C37*1.33</f>
        <v>1177.981</v>
      </c>
      <c r="H119" s="52">
        <f>[1]标准人!D37*2</f>
        <v>18000</v>
      </c>
      <c r="I119" s="51">
        <v>0.4</v>
      </c>
      <c r="J119" s="51">
        <v>2</v>
      </c>
      <c r="K119" s="51">
        <v>1</v>
      </c>
      <c r="L119" s="52">
        <f t="shared" si="1"/>
        <v>87379.0295238095</v>
      </c>
    </row>
    <row r="120" ht="15.6" spans="1:12">
      <c r="A120" s="51">
        <v>2</v>
      </c>
      <c r="B120" s="51" t="s">
        <v>59</v>
      </c>
      <c r="C120" s="50" t="s">
        <v>20</v>
      </c>
      <c r="D120" s="51" t="s">
        <v>60</v>
      </c>
      <c r="E120" s="50">
        <v>37</v>
      </c>
      <c r="F120" s="50">
        <f>[1]标准人!B38*0.76</f>
        <v>1170.4</v>
      </c>
      <c r="G120" s="50">
        <f>[1]标准人!C38*1.33</f>
        <v>1192.6376</v>
      </c>
      <c r="H120" s="52">
        <f>[1]标准人!D38*2</f>
        <v>18400</v>
      </c>
      <c r="I120" s="51">
        <v>0.4</v>
      </c>
      <c r="J120" s="51">
        <v>2</v>
      </c>
      <c r="K120" s="51">
        <v>1</v>
      </c>
      <c r="L120" s="52">
        <f t="shared" si="1"/>
        <v>89312.2262857143</v>
      </c>
    </row>
    <row r="121" ht="15.6" spans="1:12">
      <c r="A121" s="51">
        <v>2</v>
      </c>
      <c r="B121" s="51" t="s">
        <v>59</v>
      </c>
      <c r="C121" s="50" t="s">
        <v>20</v>
      </c>
      <c r="D121" s="51" t="s">
        <v>60</v>
      </c>
      <c r="E121" s="50">
        <v>38</v>
      </c>
      <c r="F121" s="50">
        <f>[1]标准人!B39*0.76</f>
        <v>1200.8</v>
      </c>
      <c r="G121" s="50">
        <f>[1]标准人!C39*1.33</f>
        <v>1207.2942</v>
      </c>
      <c r="H121" s="52">
        <f>[1]标准人!D39*2</f>
        <v>18800</v>
      </c>
      <c r="I121" s="51">
        <v>0.4</v>
      </c>
      <c r="J121" s="51">
        <v>2</v>
      </c>
      <c r="K121" s="51">
        <v>1</v>
      </c>
      <c r="L121" s="52">
        <f t="shared" si="1"/>
        <v>91245.423047619</v>
      </c>
    </row>
    <row r="122" ht="15.6" spans="1:12">
      <c r="A122" s="51">
        <v>2</v>
      </c>
      <c r="B122" s="51" t="s">
        <v>59</v>
      </c>
      <c r="C122" s="50" t="s">
        <v>20</v>
      </c>
      <c r="D122" s="51" t="s">
        <v>60</v>
      </c>
      <c r="E122" s="50">
        <v>39</v>
      </c>
      <c r="F122" s="50">
        <f>[1]标准人!B40*0.76</f>
        <v>1231.2</v>
      </c>
      <c r="G122" s="50">
        <f>[1]标准人!C40*1.33</f>
        <v>1221.9508</v>
      </c>
      <c r="H122" s="52">
        <f>[1]标准人!D40*2</f>
        <v>19200</v>
      </c>
      <c r="I122" s="51">
        <v>0.4</v>
      </c>
      <c r="J122" s="51">
        <v>2</v>
      </c>
      <c r="K122" s="51">
        <v>1</v>
      </c>
      <c r="L122" s="52">
        <f t="shared" si="1"/>
        <v>93178.6198095238</v>
      </c>
    </row>
    <row r="123" ht="15.6" spans="1:12">
      <c r="A123" s="51">
        <v>2</v>
      </c>
      <c r="B123" s="51" t="s">
        <v>59</v>
      </c>
      <c r="C123" s="50" t="s">
        <v>20</v>
      </c>
      <c r="D123" s="51" t="s">
        <v>60</v>
      </c>
      <c r="E123" s="50">
        <v>40</v>
      </c>
      <c r="F123" s="50">
        <f>[1]标准人!B41*0.76</f>
        <v>1261.6</v>
      </c>
      <c r="G123" s="50">
        <f>[1]标准人!C41*1.33</f>
        <v>1236.6074</v>
      </c>
      <c r="H123" s="52">
        <f>[1]标准人!D41*2</f>
        <v>19600</v>
      </c>
      <c r="I123" s="51">
        <v>0.4</v>
      </c>
      <c r="J123" s="51">
        <v>2</v>
      </c>
      <c r="K123" s="51">
        <v>1</v>
      </c>
      <c r="L123" s="52">
        <f t="shared" si="1"/>
        <v>95111.8165714286</v>
      </c>
    </row>
    <row r="124" ht="15.6" spans="1:12">
      <c r="A124" s="51">
        <v>2</v>
      </c>
      <c r="B124" s="51" t="s">
        <v>59</v>
      </c>
      <c r="C124" s="50" t="s">
        <v>20</v>
      </c>
      <c r="D124" s="51" t="s">
        <v>60</v>
      </c>
      <c r="E124" s="50">
        <v>41</v>
      </c>
      <c r="F124" s="50">
        <f>[1]标准人!B42*0.76</f>
        <v>1292</v>
      </c>
      <c r="G124" s="50">
        <f>[1]标准人!C42*1.33</f>
        <v>1251.264</v>
      </c>
      <c r="H124" s="52">
        <f>[1]标准人!D42*2</f>
        <v>20000</v>
      </c>
      <c r="I124" s="51">
        <v>0.4</v>
      </c>
      <c r="J124" s="51">
        <v>2</v>
      </c>
      <c r="K124" s="51">
        <v>1</v>
      </c>
      <c r="L124" s="52">
        <f t="shared" si="1"/>
        <v>97045.0133333333</v>
      </c>
    </row>
    <row r="125" ht="15.6" spans="1:12">
      <c r="A125" s="51">
        <v>2</v>
      </c>
      <c r="B125" s="51" t="s">
        <v>59</v>
      </c>
      <c r="C125" s="50" t="s">
        <v>20</v>
      </c>
      <c r="D125" s="51" t="s">
        <v>60</v>
      </c>
      <c r="E125" s="50">
        <v>42</v>
      </c>
      <c r="F125" s="50">
        <f>[1]标准人!B43*0.76</f>
        <v>1322.4</v>
      </c>
      <c r="G125" s="50">
        <f>[1]标准人!C43*1.33</f>
        <v>1265.9206</v>
      </c>
      <c r="H125" s="52">
        <f>[1]标准人!D43*2</f>
        <v>20400</v>
      </c>
      <c r="I125" s="51">
        <v>0.4</v>
      </c>
      <c r="J125" s="51">
        <v>2</v>
      </c>
      <c r="K125" s="51">
        <v>1</v>
      </c>
      <c r="L125" s="52">
        <f t="shared" si="1"/>
        <v>98978.2100952381</v>
      </c>
    </row>
    <row r="126" ht="15.6" spans="1:12">
      <c r="A126" s="51">
        <v>2</v>
      </c>
      <c r="B126" s="51" t="s">
        <v>59</v>
      </c>
      <c r="C126" s="50" t="s">
        <v>20</v>
      </c>
      <c r="D126" s="51" t="s">
        <v>60</v>
      </c>
      <c r="E126" s="50">
        <v>43</v>
      </c>
      <c r="F126" s="50">
        <f>[1]标准人!B44*0.76</f>
        <v>1352.8</v>
      </c>
      <c r="G126" s="50">
        <f>[1]标准人!C44*1.33</f>
        <v>1280.5772</v>
      </c>
      <c r="H126" s="52">
        <f>[1]标准人!D44*2</f>
        <v>20800</v>
      </c>
      <c r="I126" s="51">
        <v>0.4</v>
      </c>
      <c r="J126" s="51">
        <v>2</v>
      </c>
      <c r="K126" s="51">
        <v>1</v>
      </c>
      <c r="L126" s="52">
        <f t="shared" si="1"/>
        <v>100911.406857143</v>
      </c>
    </row>
    <row r="127" ht="15.6" spans="1:12">
      <c r="A127" s="51">
        <v>2</v>
      </c>
      <c r="B127" s="51" t="s">
        <v>59</v>
      </c>
      <c r="C127" s="50" t="s">
        <v>20</v>
      </c>
      <c r="D127" s="51" t="s">
        <v>60</v>
      </c>
      <c r="E127" s="50">
        <v>44</v>
      </c>
      <c r="F127" s="50">
        <f>[1]标准人!B45*0.76</f>
        <v>1383.2</v>
      </c>
      <c r="G127" s="50">
        <f>[1]标准人!C45*1.33</f>
        <v>1295.2338</v>
      </c>
      <c r="H127" s="52">
        <f>[1]标准人!D45*2</f>
        <v>21200</v>
      </c>
      <c r="I127" s="51">
        <v>0.4</v>
      </c>
      <c r="J127" s="51">
        <v>2</v>
      </c>
      <c r="K127" s="51">
        <v>1</v>
      </c>
      <c r="L127" s="52">
        <f t="shared" si="1"/>
        <v>102844.603619048</v>
      </c>
    </row>
    <row r="128" ht="15.6" spans="1:12">
      <c r="A128" s="51">
        <v>2</v>
      </c>
      <c r="B128" s="51" t="s">
        <v>59</v>
      </c>
      <c r="C128" s="50" t="s">
        <v>20</v>
      </c>
      <c r="D128" s="51" t="s">
        <v>60</v>
      </c>
      <c r="E128" s="50">
        <v>45</v>
      </c>
      <c r="F128" s="50">
        <f>[1]标准人!B46*0.76</f>
        <v>1413.6</v>
      </c>
      <c r="G128" s="50">
        <f>[1]标准人!C46*1.33</f>
        <v>1309.8904</v>
      </c>
      <c r="H128" s="52">
        <f>[1]标准人!D46*2</f>
        <v>21600</v>
      </c>
      <c r="I128" s="51">
        <v>0.4</v>
      </c>
      <c r="J128" s="51">
        <v>2</v>
      </c>
      <c r="K128" s="51">
        <v>1</v>
      </c>
      <c r="L128" s="52">
        <f t="shared" si="1"/>
        <v>104777.800380952</v>
      </c>
    </row>
    <row r="129" ht="15.6" spans="1:12">
      <c r="A129" s="51">
        <v>2</v>
      </c>
      <c r="B129" s="51" t="s">
        <v>59</v>
      </c>
      <c r="C129" s="50" t="s">
        <v>20</v>
      </c>
      <c r="D129" s="51" t="s">
        <v>60</v>
      </c>
      <c r="E129" s="50">
        <v>46</v>
      </c>
      <c r="F129" s="50">
        <f>[1]标准人!B47*0.76</f>
        <v>1444</v>
      </c>
      <c r="G129" s="50">
        <f>[1]标准人!C47*1.33</f>
        <v>1324.547</v>
      </c>
      <c r="H129" s="52">
        <f>[1]标准人!D47*2</f>
        <v>22000</v>
      </c>
      <c r="I129" s="51">
        <v>0.4</v>
      </c>
      <c r="J129" s="51">
        <v>2</v>
      </c>
      <c r="K129" s="51">
        <v>1</v>
      </c>
      <c r="L129" s="52">
        <f t="shared" si="1"/>
        <v>106710.997142857</v>
      </c>
    </row>
    <row r="130" ht="15.6" spans="1:12">
      <c r="A130" s="51">
        <v>2</v>
      </c>
      <c r="B130" s="51" t="s">
        <v>59</v>
      </c>
      <c r="C130" s="50" t="s">
        <v>20</v>
      </c>
      <c r="D130" s="51" t="s">
        <v>60</v>
      </c>
      <c r="E130" s="50">
        <v>47</v>
      </c>
      <c r="F130" s="50">
        <f>[1]标准人!B48*0.76</f>
        <v>1474.4</v>
      </c>
      <c r="G130" s="50">
        <f>[1]标准人!C48*1.33</f>
        <v>1339.2036</v>
      </c>
      <c r="H130" s="52">
        <f>[1]标准人!D48*2</f>
        <v>22400</v>
      </c>
      <c r="I130" s="51">
        <v>0.4</v>
      </c>
      <c r="J130" s="51">
        <v>2</v>
      </c>
      <c r="K130" s="51">
        <v>1</v>
      </c>
      <c r="L130" s="52">
        <f t="shared" si="1"/>
        <v>108644.193904762</v>
      </c>
    </row>
    <row r="131" ht="15.6" spans="1:12">
      <c r="A131" s="51">
        <v>2</v>
      </c>
      <c r="B131" s="51" t="s">
        <v>59</v>
      </c>
      <c r="C131" s="50" t="s">
        <v>20</v>
      </c>
      <c r="D131" s="51" t="s">
        <v>60</v>
      </c>
      <c r="E131" s="50">
        <v>48</v>
      </c>
      <c r="F131" s="50">
        <f>[1]标准人!B49*0.76</f>
        <v>1504.8</v>
      </c>
      <c r="G131" s="50">
        <f>[1]标准人!C49*1.33</f>
        <v>1353.8602</v>
      </c>
      <c r="H131" s="52">
        <f>[1]标准人!D49*2</f>
        <v>22800</v>
      </c>
      <c r="I131" s="51">
        <v>0.4</v>
      </c>
      <c r="J131" s="51">
        <v>2</v>
      </c>
      <c r="K131" s="51">
        <v>1</v>
      </c>
      <c r="L131" s="52">
        <f t="shared" si="1"/>
        <v>110577.390666667</v>
      </c>
    </row>
    <row r="132" ht="15.6" spans="1:12">
      <c r="A132" s="51">
        <v>2</v>
      </c>
      <c r="B132" s="51" t="s">
        <v>59</v>
      </c>
      <c r="C132" s="50" t="s">
        <v>20</v>
      </c>
      <c r="D132" s="51" t="s">
        <v>60</v>
      </c>
      <c r="E132" s="50">
        <v>49</v>
      </c>
      <c r="F132" s="50">
        <f>[1]标准人!B50*0.76</f>
        <v>1535.2</v>
      </c>
      <c r="G132" s="50">
        <f>[1]标准人!C50*1.33</f>
        <v>1368.5168</v>
      </c>
      <c r="H132" s="52">
        <f>[1]标准人!D50*2</f>
        <v>23200</v>
      </c>
      <c r="I132" s="51">
        <v>0.4</v>
      </c>
      <c r="J132" s="51">
        <v>2</v>
      </c>
      <c r="K132" s="51">
        <v>1</v>
      </c>
      <c r="L132" s="52">
        <f t="shared" ref="L132:L195" si="2">IF(D132="SNIP",((F132*0.4+G132*0.01+H132*1)*10.3),IF(D132="DPS",(F132*0.17+G132*0.05+H132*0.2)*30,(F132*0.1+G132*0.2+H132*1)*10/2.1))</f>
        <v>112510.587428571</v>
      </c>
    </row>
    <row r="133" ht="15.6" spans="1:12">
      <c r="A133" s="51">
        <v>2</v>
      </c>
      <c r="B133" s="51" t="s">
        <v>59</v>
      </c>
      <c r="C133" s="50" t="s">
        <v>20</v>
      </c>
      <c r="D133" s="51" t="s">
        <v>60</v>
      </c>
      <c r="E133" s="50">
        <v>50</v>
      </c>
      <c r="F133" s="50">
        <f>[1]标准人!B51*0.76</f>
        <v>1565.6</v>
      </c>
      <c r="G133" s="50">
        <f>[1]标准人!C51*1.33</f>
        <v>1383.1734</v>
      </c>
      <c r="H133" s="52">
        <f>[1]标准人!D51*2</f>
        <v>23600</v>
      </c>
      <c r="I133" s="51">
        <v>0.4</v>
      </c>
      <c r="J133" s="51">
        <v>2</v>
      </c>
      <c r="K133" s="51">
        <v>1</v>
      </c>
      <c r="L133" s="52">
        <f t="shared" si="2"/>
        <v>114443.784190476</v>
      </c>
    </row>
    <row r="134" ht="15.6" spans="1:12">
      <c r="A134" s="51">
        <v>2</v>
      </c>
      <c r="B134" s="51" t="s">
        <v>59</v>
      </c>
      <c r="C134" s="50" t="s">
        <v>20</v>
      </c>
      <c r="D134" s="51" t="s">
        <v>60</v>
      </c>
      <c r="E134" s="50">
        <v>51</v>
      </c>
      <c r="F134" s="50">
        <f>[1]标准人!B52*0.76</f>
        <v>1596</v>
      </c>
      <c r="G134" s="50">
        <f>[1]标准人!C52*1.33</f>
        <v>1397.83</v>
      </c>
      <c r="H134" s="52">
        <f>[1]标准人!D52*2</f>
        <v>24000</v>
      </c>
      <c r="I134" s="51">
        <v>0.4</v>
      </c>
      <c r="J134" s="51">
        <v>2</v>
      </c>
      <c r="K134" s="51">
        <v>1</v>
      </c>
      <c r="L134" s="52">
        <f t="shared" si="2"/>
        <v>116376.980952381</v>
      </c>
    </row>
    <row r="135" ht="15.6" spans="1:12">
      <c r="A135" s="51">
        <v>2</v>
      </c>
      <c r="B135" s="51" t="s">
        <v>59</v>
      </c>
      <c r="C135" s="50" t="s">
        <v>20</v>
      </c>
      <c r="D135" s="51" t="s">
        <v>60</v>
      </c>
      <c r="E135" s="50">
        <v>52</v>
      </c>
      <c r="F135" s="50">
        <f>[1]标准人!B53*0.76</f>
        <v>1626.4</v>
      </c>
      <c r="G135" s="50">
        <f>[1]标准人!C53*1.33</f>
        <v>1412.4866</v>
      </c>
      <c r="H135" s="52">
        <f>[1]标准人!D53*2</f>
        <v>24400</v>
      </c>
      <c r="I135" s="51">
        <v>0.4</v>
      </c>
      <c r="J135" s="51">
        <v>2</v>
      </c>
      <c r="K135" s="51">
        <v>1</v>
      </c>
      <c r="L135" s="52">
        <f t="shared" si="2"/>
        <v>118310.177714286</v>
      </c>
    </row>
    <row r="136" ht="15.6" spans="1:12">
      <c r="A136" s="51">
        <v>2</v>
      </c>
      <c r="B136" s="51" t="s">
        <v>59</v>
      </c>
      <c r="C136" s="50" t="s">
        <v>20</v>
      </c>
      <c r="D136" s="51" t="s">
        <v>60</v>
      </c>
      <c r="E136" s="50">
        <v>53</v>
      </c>
      <c r="F136" s="50">
        <f>[1]标准人!B54*0.76</f>
        <v>1656.8</v>
      </c>
      <c r="G136" s="50">
        <f>[1]标准人!C54*1.33</f>
        <v>1427.1432</v>
      </c>
      <c r="H136" s="52">
        <f>[1]标准人!D54*2</f>
        <v>24800</v>
      </c>
      <c r="I136" s="51">
        <v>0.4</v>
      </c>
      <c r="J136" s="51">
        <v>2</v>
      </c>
      <c r="K136" s="51">
        <v>1</v>
      </c>
      <c r="L136" s="52">
        <f t="shared" si="2"/>
        <v>120243.37447619</v>
      </c>
    </row>
    <row r="137" ht="15.6" spans="1:12">
      <c r="A137" s="51">
        <v>2</v>
      </c>
      <c r="B137" s="51" t="s">
        <v>59</v>
      </c>
      <c r="C137" s="50" t="s">
        <v>20</v>
      </c>
      <c r="D137" s="51" t="s">
        <v>60</v>
      </c>
      <c r="E137" s="50">
        <v>54</v>
      </c>
      <c r="F137" s="50">
        <f>[1]标准人!B55*0.76</f>
        <v>1687.2</v>
      </c>
      <c r="G137" s="50">
        <f>[1]标准人!C55*1.33</f>
        <v>1441.7998</v>
      </c>
      <c r="H137" s="52">
        <f>[1]标准人!D55*2</f>
        <v>25200</v>
      </c>
      <c r="I137" s="51">
        <v>0.4</v>
      </c>
      <c r="J137" s="51">
        <v>2</v>
      </c>
      <c r="K137" s="51">
        <v>1</v>
      </c>
      <c r="L137" s="52">
        <f t="shared" si="2"/>
        <v>122176.571238095</v>
      </c>
    </row>
    <row r="138" ht="15.6" spans="1:12">
      <c r="A138" s="51">
        <v>2</v>
      </c>
      <c r="B138" s="51" t="s">
        <v>59</v>
      </c>
      <c r="C138" s="50" t="s">
        <v>20</v>
      </c>
      <c r="D138" s="51" t="s">
        <v>60</v>
      </c>
      <c r="E138" s="50">
        <v>55</v>
      </c>
      <c r="F138" s="50">
        <f>[1]标准人!B56*0.76</f>
        <v>1717.6</v>
      </c>
      <c r="G138" s="50">
        <f>[1]标准人!C56*1.33</f>
        <v>1456.4564</v>
      </c>
      <c r="H138" s="52">
        <f>[1]标准人!D56*2</f>
        <v>25600</v>
      </c>
      <c r="I138" s="51">
        <v>0.4</v>
      </c>
      <c r="J138" s="51">
        <v>2</v>
      </c>
      <c r="K138" s="51">
        <v>1</v>
      </c>
      <c r="L138" s="52">
        <f t="shared" si="2"/>
        <v>124109.768</v>
      </c>
    </row>
    <row r="139" ht="15.6" spans="1:12">
      <c r="A139" s="51">
        <v>2</v>
      </c>
      <c r="B139" s="51" t="s">
        <v>59</v>
      </c>
      <c r="C139" s="50" t="s">
        <v>20</v>
      </c>
      <c r="D139" s="51" t="s">
        <v>60</v>
      </c>
      <c r="E139" s="50">
        <v>56</v>
      </c>
      <c r="F139" s="50">
        <f>[1]标准人!B57*0.76</f>
        <v>1748</v>
      </c>
      <c r="G139" s="50">
        <f>[1]标准人!C57*1.33</f>
        <v>1471.113</v>
      </c>
      <c r="H139" s="52">
        <f>[1]标准人!D57*2</f>
        <v>26000</v>
      </c>
      <c r="I139" s="51">
        <v>0.4</v>
      </c>
      <c r="J139" s="51">
        <v>2</v>
      </c>
      <c r="K139" s="51">
        <v>1</v>
      </c>
      <c r="L139" s="52">
        <f t="shared" si="2"/>
        <v>126042.964761905</v>
      </c>
    </row>
    <row r="140" ht="15.6" spans="1:12">
      <c r="A140" s="51">
        <v>2</v>
      </c>
      <c r="B140" s="51" t="s">
        <v>59</v>
      </c>
      <c r="C140" s="50" t="s">
        <v>20</v>
      </c>
      <c r="D140" s="51" t="s">
        <v>60</v>
      </c>
      <c r="E140" s="50">
        <v>57</v>
      </c>
      <c r="F140" s="50">
        <f>[1]标准人!B58*0.76</f>
        <v>1778.4</v>
      </c>
      <c r="G140" s="50">
        <f>[1]标准人!C58*1.33</f>
        <v>1485.7696</v>
      </c>
      <c r="H140" s="52">
        <f>[1]标准人!D58*2</f>
        <v>26400</v>
      </c>
      <c r="I140" s="51">
        <v>0.4</v>
      </c>
      <c r="J140" s="51">
        <v>2</v>
      </c>
      <c r="K140" s="51">
        <v>1</v>
      </c>
      <c r="L140" s="52">
        <f t="shared" si="2"/>
        <v>127976.16152381</v>
      </c>
    </row>
    <row r="141" ht="15.6" spans="1:12">
      <c r="A141" s="51">
        <v>2</v>
      </c>
      <c r="B141" s="51" t="s">
        <v>59</v>
      </c>
      <c r="C141" s="50" t="s">
        <v>20</v>
      </c>
      <c r="D141" s="51" t="s">
        <v>60</v>
      </c>
      <c r="E141" s="50">
        <v>58</v>
      </c>
      <c r="F141" s="50">
        <f>[1]标准人!B59*0.76</f>
        <v>1808.8</v>
      </c>
      <c r="G141" s="50">
        <f>[1]标准人!C59*1.33</f>
        <v>1500.4262</v>
      </c>
      <c r="H141" s="52">
        <f>[1]标准人!D59*2</f>
        <v>26800</v>
      </c>
      <c r="I141" s="51">
        <v>0.4</v>
      </c>
      <c r="J141" s="51">
        <v>2</v>
      </c>
      <c r="K141" s="51">
        <v>1</v>
      </c>
      <c r="L141" s="52">
        <f t="shared" si="2"/>
        <v>129909.358285714</v>
      </c>
    </row>
    <row r="142" ht="15.6" spans="1:12">
      <c r="A142" s="51">
        <v>2</v>
      </c>
      <c r="B142" s="51" t="s">
        <v>59</v>
      </c>
      <c r="C142" s="50" t="s">
        <v>20</v>
      </c>
      <c r="D142" s="51" t="s">
        <v>60</v>
      </c>
      <c r="E142" s="50">
        <v>59</v>
      </c>
      <c r="F142" s="50">
        <f>[1]标准人!B60*0.76</f>
        <v>1839.2</v>
      </c>
      <c r="G142" s="50">
        <f>[1]标准人!C60*1.33</f>
        <v>1515.0828</v>
      </c>
      <c r="H142" s="52">
        <f>[1]标准人!D60*2</f>
        <v>27200</v>
      </c>
      <c r="I142" s="51">
        <v>0.4</v>
      </c>
      <c r="J142" s="51">
        <v>2</v>
      </c>
      <c r="K142" s="51">
        <v>1</v>
      </c>
      <c r="L142" s="52">
        <f t="shared" si="2"/>
        <v>131842.555047619</v>
      </c>
    </row>
    <row r="143" ht="15.6" spans="1:12">
      <c r="A143" s="51">
        <v>2</v>
      </c>
      <c r="B143" s="51" t="s">
        <v>59</v>
      </c>
      <c r="C143" s="50" t="s">
        <v>20</v>
      </c>
      <c r="D143" s="51" t="s">
        <v>60</v>
      </c>
      <c r="E143" s="50">
        <v>60</v>
      </c>
      <c r="F143" s="50">
        <f>[1]标准人!B61*0.76</f>
        <v>1869.6</v>
      </c>
      <c r="G143" s="50">
        <f>[1]标准人!C61*1.33</f>
        <v>1529.7394</v>
      </c>
      <c r="H143" s="52">
        <f>[1]标准人!D61*2</f>
        <v>27600</v>
      </c>
      <c r="I143" s="51">
        <v>0.4</v>
      </c>
      <c r="J143" s="51">
        <v>2</v>
      </c>
      <c r="K143" s="51">
        <v>1</v>
      </c>
      <c r="L143" s="52">
        <f t="shared" si="2"/>
        <v>133775.751809524</v>
      </c>
    </row>
    <row r="144" ht="15.6" spans="1:12">
      <c r="A144" s="51">
        <v>2</v>
      </c>
      <c r="B144" s="51" t="s">
        <v>59</v>
      </c>
      <c r="C144" s="50" t="s">
        <v>20</v>
      </c>
      <c r="D144" s="51" t="s">
        <v>60</v>
      </c>
      <c r="E144" s="50">
        <v>61</v>
      </c>
      <c r="F144" s="50">
        <f>[1]标准人!B62*0.76</f>
        <v>1900</v>
      </c>
      <c r="G144" s="50">
        <f>[1]标准人!C62*1.33</f>
        <v>1544.396</v>
      </c>
      <c r="H144" s="52">
        <f>[1]标准人!D62*2</f>
        <v>28000</v>
      </c>
      <c r="I144" s="51">
        <v>0.4</v>
      </c>
      <c r="J144" s="51">
        <v>2</v>
      </c>
      <c r="K144" s="51">
        <v>1</v>
      </c>
      <c r="L144" s="52">
        <f t="shared" si="2"/>
        <v>135708.948571429</v>
      </c>
    </row>
    <row r="145" ht="15.6" spans="1:12">
      <c r="A145" s="51">
        <v>2</v>
      </c>
      <c r="B145" s="51" t="s">
        <v>59</v>
      </c>
      <c r="C145" s="50" t="s">
        <v>20</v>
      </c>
      <c r="D145" s="51" t="s">
        <v>60</v>
      </c>
      <c r="E145" s="50">
        <v>62</v>
      </c>
      <c r="F145" s="50">
        <f>[1]标准人!B63*0.76</f>
        <v>1930.4</v>
      </c>
      <c r="G145" s="50">
        <f>[1]标准人!C63*1.33</f>
        <v>1559.0526</v>
      </c>
      <c r="H145" s="52">
        <f>[1]标准人!D63*2</f>
        <v>28400</v>
      </c>
      <c r="I145" s="51">
        <v>0.4</v>
      </c>
      <c r="J145" s="51">
        <v>2</v>
      </c>
      <c r="K145" s="51">
        <v>1</v>
      </c>
      <c r="L145" s="52">
        <f t="shared" si="2"/>
        <v>137642.145333333</v>
      </c>
    </row>
    <row r="146" ht="15.6" spans="1:12">
      <c r="A146" s="51">
        <v>2</v>
      </c>
      <c r="B146" s="51" t="s">
        <v>59</v>
      </c>
      <c r="C146" s="50" t="s">
        <v>20</v>
      </c>
      <c r="D146" s="51" t="s">
        <v>60</v>
      </c>
      <c r="E146" s="50">
        <v>63</v>
      </c>
      <c r="F146" s="50">
        <f>[1]标准人!B64*0.76</f>
        <v>1960.8</v>
      </c>
      <c r="G146" s="50">
        <f>[1]标准人!C64*1.33</f>
        <v>1573.7092</v>
      </c>
      <c r="H146" s="52">
        <f>[1]标准人!D64*2</f>
        <v>28800</v>
      </c>
      <c r="I146" s="51">
        <v>0.4</v>
      </c>
      <c r="J146" s="51">
        <v>2</v>
      </c>
      <c r="K146" s="51">
        <v>1</v>
      </c>
      <c r="L146" s="52">
        <f t="shared" si="2"/>
        <v>139575.342095238</v>
      </c>
    </row>
    <row r="147" ht="15.6" spans="1:12">
      <c r="A147" s="51">
        <v>2</v>
      </c>
      <c r="B147" s="51" t="s">
        <v>59</v>
      </c>
      <c r="C147" s="50" t="s">
        <v>20</v>
      </c>
      <c r="D147" s="51" t="s">
        <v>60</v>
      </c>
      <c r="E147" s="50">
        <v>64</v>
      </c>
      <c r="F147" s="50">
        <f>[1]标准人!B65*0.76</f>
        <v>1991.2</v>
      </c>
      <c r="G147" s="50">
        <f>[1]标准人!C65*1.33</f>
        <v>1588.3658</v>
      </c>
      <c r="H147" s="52">
        <f>[1]标准人!D65*2</f>
        <v>29200</v>
      </c>
      <c r="I147" s="51">
        <v>0.4</v>
      </c>
      <c r="J147" s="51">
        <v>2</v>
      </c>
      <c r="K147" s="51">
        <v>1</v>
      </c>
      <c r="L147" s="52">
        <f t="shared" si="2"/>
        <v>141508.538857143</v>
      </c>
    </row>
    <row r="148" ht="15.6" spans="1:12">
      <c r="A148" s="51">
        <v>2</v>
      </c>
      <c r="B148" s="51" t="s">
        <v>59</v>
      </c>
      <c r="C148" s="50" t="s">
        <v>20</v>
      </c>
      <c r="D148" s="51" t="s">
        <v>60</v>
      </c>
      <c r="E148" s="50">
        <v>65</v>
      </c>
      <c r="F148" s="50">
        <f>[1]标准人!B66*0.76</f>
        <v>2021.6</v>
      </c>
      <c r="G148" s="50">
        <f>[1]标准人!C66*1.33</f>
        <v>1603.0224</v>
      </c>
      <c r="H148" s="52">
        <f>[1]标准人!D66*2</f>
        <v>29600</v>
      </c>
      <c r="I148" s="51">
        <v>0.4</v>
      </c>
      <c r="J148" s="51">
        <v>2</v>
      </c>
      <c r="K148" s="51">
        <v>1</v>
      </c>
      <c r="L148" s="52">
        <f t="shared" si="2"/>
        <v>143441.735619048</v>
      </c>
    </row>
    <row r="149" ht="15.6" spans="1:12">
      <c r="A149" s="51">
        <v>2</v>
      </c>
      <c r="B149" s="51" t="s">
        <v>59</v>
      </c>
      <c r="C149" s="50" t="s">
        <v>20</v>
      </c>
      <c r="D149" s="51" t="s">
        <v>60</v>
      </c>
      <c r="E149" s="50">
        <v>66</v>
      </c>
      <c r="F149" s="50">
        <f>[1]标准人!B67*0.76</f>
        <v>2052</v>
      </c>
      <c r="G149" s="50">
        <f>[1]标准人!C67*1.33</f>
        <v>1617.679</v>
      </c>
      <c r="H149" s="52">
        <f>[1]标准人!D67*2</f>
        <v>30000</v>
      </c>
      <c r="I149" s="51">
        <v>0.4</v>
      </c>
      <c r="J149" s="51">
        <v>2</v>
      </c>
      <c r="K149" s="51">
        <v>1</v>
      </c>
      <c r="L149" s="52">
        <f t="shared" si="2"/>
        <v>145374.932380952</v>
      </c>
    </row>
    <row r="150" ht="15.6" spans="1:12">
      <c r="A150" s="51">
        <v>2</v>
      </c>
      <c r="B150" s="51" t="s">
        <v>59</v>
      </c>
      <c r="C150" s="50" t="s">
        <v>20</v>
      </c>
      <c r="D150" s="51" t="s">
        <v>60</v>
      </c>
      <c r="E150" s="50">
        <v>67</v>
      </c>
      <c r="F150" s="50">
        <f>[1]标准人!B68*0.76</f>
        <v>2082.4</v>
      </c>
      <c r="G150" s="50">
        <f>[1]标准人!C68*1.33</f>
        <v>1632.3356</v>
      </c>
      <c r="H150" s="52">
        <f>[1]标准人!D68*2</f>
        <v>30400</v>
      </c>
      <c r="I150" s="51">
        <v>0.4</v>
      </c>
      <c r="J150" s="51">
        <v>2</v>
      </c>
      <c r="K150" s="51">
        <v>1</v>
      </c>
      <c r="L150" s="52">
        <f t="shared" si="2"/>
        <v>147308.129142857</v>
      </c>
    </row>
    <row r="151" ht="15.6" spans="1:12">
      <c r="A151" s="51">
        <v>2</v>
      </c>
      <c r="B151" s="51" t="s">
        <v>59</v>
      </c>
      <c r="C151" s="50" t="s">
        <v>20</v>
      </c>
      <c r="D151" s="51" t="s">
        <v>60</v>
      </c>
      <c r="E151" s="50">
        <v>68</v>
      </c>
      <c r="F151" s="50">
        <f>[1]标准人!B69*0.76</f>
        <v>2112.8</v>
      </c>
      <c r="G151" s="50">
        <f>[1]标准人!C69*1.33</f>
        <v>1646.9922</v>
      </c>
      <c r="H151" s="52">
        <f>[1]标准人!D69*2</f>
        <v>30800</v>
      </c>
      <c r="I151" s="51">
        <v>0.4</v>
      </c>
      <c r="J151" s="51">
        <v>2</v>
      </c>
      <c r="K151" s="51">
        <v>1</v>
      </c>
      <c r="L151" s="52">
        <f t="shared" si="2"/>
        <v>149241.325904762</v>
      </c>
    </row>
    <row r="152" ht="15.6" spans="1:12">
      <c r="A152" s="51">
        <v>2</v>
      </c>
      <c r="B152" s="51" t="s">
        <v>59</v>
      </c>
      <c r="C152" s="50" t="s">
        <v>20</v>
      </c>
      <c r="D152" s="51" t="s">
        <v>60</v>
      </c>
      <c r="E152" s="50">
        <v>69</v>
      </c>
      <c r="F152" s="50">
        <f>[1]标准人!B70*0.76</f>
        <v>2143.2</v>
      </c>
      <c r="G152" s="50">
        <f>[1]标准人!C70*1.33</f>
        <v>1661.6488</v>
      </c>
      <c r="H152" s="52">
        <f>[1]标准人!D70*2</f>
        <v>31200</v>
      </c>
      <c r="I152" s="51">
        <v>0.4</v>
      </c>
      <c r="J152" s="51">
        <v>2</v>
      </c>
      <c r="K152" s="51">
        <v>1</v>
      </c>
      <c r="L152" s="52">
        <f t="shared" si="2"/>
        <v>151174.522666667</v>
      </c>
    </row>
    <row r="153" ht="15.6" spans="1:12">
      <c r="A153" s="51">
        <v>2</v>
      </c>
      <c r="B153" s="51" t="s">
        <v>59</v>
      </c>
      <c r="C153" s="50" t="s">
        <v>20</v>
      </c>
      <c r="D153" s="51" t="s">
        <v>60</v>
      </c>
      <c r="E153" s="50">
        <v>70</v>
      </c>
      <c r="F153" s="50">
        <f>[1]标准人!B71*0.76</f>
        <v>2173.6</v>
      </c>
      <c r="G153" s="50">
        <f>[1]标准人!C71*1.33</f>
        <v>1676.3054</v>
      </c>
      <c r="H153" s="52">
        <f>[1]标准人!D71*2</f>
        <v>31600</v>
      </c>
      <c r="I153" s="51">
        <v>0.4</v>
      </c>
      <c r="J153" s="51">
        <v>2</v>
      </c>
      <c r="K153" s="51">
        <v>1</v>
      </c>
      <c r="L153" s="52">
        <f t="shared" si="2"/>
        <v>153107.719428571</v>
      </c>
    </row>
    <row r="154" ht="15.6" spans="1:12">
      <c r="A154" s="51">
        <v>2</v>
      </c>
      <c r="B154" s="51" t="s">
        <v>59</v>
      </c>
      <c r="C154" s="50" t="s">
        <v>20</v>
      </c>
      <c r="D154" s="51" t="s">
        <v>60</v>
      </c>
      <c r="E154" s="50">
        <v>71</v>
      </c>
      <c r="F154" s="50">
        <f>[1]标准人!B72*0.76</f>
        <v>2204</v>
      </c>
      <c r="G154" s="50">
        <f>[1]标准人!C72*1.33</f>
        <v>1690.962</v>
      </c>
      <c r="H154" s="52">
        <f>[1]标准人!D72*2</f>
        <v>32000</v>
      </c>
      <c r="I154" s="51">
        <v>0.4</v>
      </c>
      <c r="J154" s="51">
        <v>2</v>
      </c>
      <c r="K154" s="51">
        <v>1</v>
      </c>
      <c r="L154" s="52">
        <f t="shared" si="2"/>
        <v>155040.916190476</v>
      </c>
    </row>
    <row r="155" ht="15.6" spans="1:12">
      <c r="A155" s="51">
        <v>2</v>
      </c>
      <c r="B155" s="51" t="s">
        <v>59</v>
      </c>
      <c r="C155" s="50" t="s">
        <v>20</v>
      </c>
      <c r="D155" s="51" t="s">
        <v>60</v>
      </c>
      <c r="E155" s="50">
        <v>72</v>
      </c>
      <c r="F155" s="50">
        <f>[1]标准人!B73*0.76</f>
        <v>2234.4</v>
      </c>
      <c r="G155" s="50">
        <f>[1]标准人!C73*1.33</f>
        <v>1705.6186</v>
      </c>
      <c r="H155" s="52">
        <f>[1]标准人!D73*2</f>
        <v>32400</v>
      </c>
      <c r="I155" s="51">
        <v>0.4</v>
      </c>
      <c r="J155" s="51">
        <v>2</v>
      </c>
      <c r="K155" s="51">
        <v>1</v>
      </c>
      <c r="L155" s="52">
        <f t="shared" si="2"/>
        <v>156974.112952381</v>
      </c>
    </row>
    <row r="156" ht="15.6" spans="1:12">
      <c r="A156" s="51">
        <v>2</v>
      </c>
      <c r="B156" s="51" t="s">
        <v>59</v>
      </c>
      <c r="C156" s="50" t="s">
        <v>20</v>
      </c>
      <c r="D156" s="51" t="s">
        <v>60</v>
      </c>
      <c r="E156" s="50">
        <v>73</v>
      </c>
      <c r="F156" s="50">
        <f>[1]标准人!B74*0.76</f>
        <v>2264.8</v>
      </c>
      <c r="G156" s="50">
        <f>[1]标准人!C74*1.33</f>
        <v>1720.2752</v>
      </c>
      <c r="H156" s="52">
        <f>[1]标准人!D74*2</f>
        <v>32800</v>
      </c>
      <c r="I156" s="51">
        <v>0.4</v>
      </c>
      <c r="J156" s="51">
        <v>2</v>
      </c>
      <c r="K156" s="51">
        <v>1</v>
      </c>
      <c r="L156" s="52">
        <f t="shared" si="2"/>
        <v>158907.309714286</v>
      </c>
    </row>
    <row r="157" ht="15.6" spans="1:12">
      <c r="A157" s="51">
        <v>2</v>
      </c>
      <c r="B157" s="51" t="s">
        <v>59</v>
      </c>
      <c r="C157" s="50" t="s">
        <v>20</v>
      </c>
      <c r="D157" s="51" t="s">
        <v>60</v>
      </c>
      <c r="E157" s="50">
        <v>74</v>
      </c>
      <c r="F157" s="50">
        <f>[1]标准人!B75*0.76</f>
        <v>2295.2</v>
      </c>
      <c r="G157" s="50">
        <f>[1]标准人!C75*1.33</f>
        <v>1734.9318</v>
      </c>
      <c r="H157" s="52">
        <f>[1]标准人!D75*2</f>
        <v>33200</v>
      </c>
      <c r="I157" s="51">
        <v>0.4</v>
      </c>
      <c r="J157" s="51">
        <v>2</v>
      </c>
      <c r="K157" s="51">
        <v>1</v>
      </c>
      <c r="L157" s="52">
        <f t="shared" si="2"/>
        <v>160840.50647619</v>
      </c>
    </row>
    <row r="158" ht="15.6" spans="1:12">
      <c r="A158" s="51">
        <v>2</v>
      </c>
      <c r="B158" s="51" t="s">
        <v>59</v>
      </c>
      <c r="C158" s="50" t="s">
        <v>20</v>
      </c>
      <c r="D158" s="51" t="s">
        <v>60</v>
      </c>
      <c r="E158" s="50">
        <v>75</v>
      </c>
      <c r="F158" s="50">
        <f>[1]标准人!B76*0.76</f>
        <v>2325.6</v>
      </c>
      <c r="G158" s="50">
        <f>[1]标准人!C76*1.33</f>
        <v>1749.5884</v>
      </c>
      <c r="H158" s="52">
        <f>[1]标准人!D76*2</f>
        <v>33600</v>
      </c>
      <c r="I158" s="51">
        <v>0.4</v>
      </c>
      <c r="J158" s="51">
        <v>2</v>
      </c>
      <c r="K158" s="51">
        <v>1</v>
      </c>
      <c r="L158" s="52">
        <f t="shared" si="2"/>
        <v>162773.703238095</v>
      </c>
    </row>
    <row r="159" ht="15.6" spans="1:12">
      <c r="A159" s="51">
        <v>2</v>
      </c>
      <c r="B159" s="51" t="s">
        <v>59</v>
      </c>
      <c r="C159" s="50" t="s">
        <v>20</v>
      </c>
      <c r="D159" s="51" t="s">
        <v>60</v>
      </c>
      <c r="E159" s="50">
        <v>76</v>
      </c>
      <c r="F159" s="50">
        <f>[1]标准人!B77*0.76</f>
        <v>2356</v>
      </c>
      <c r="G159" s="50">
        <f>[1]标准人!C77*1.33</f>
        <v>1764.245</v>
      </c>
      <c r="H159" s="52">
        <f>[1]标准人!D77*2</f>
        <v>34000</v>
      </c>
      <c r="I159" s="51">
        <v>0.4</v>
      </c>
      <c r="J159" s="51">
        <v>2</v>
      </c>
      <c r="K159" s="51">
        <v>1</v>
      </c>
      <c r="L159" s="52">
        <f t="shared" si="2"/>
        <v>164706.9</v>
      </c>
    </row>
    <row r="160" ht="15.6" spans="1:12">
      <c r="A160" s="51">
        <v>2</v>
      </c>
      <c r="B160" s="51" t="s">
        <v>59</v>
      </c>
      <c r="C160" s="50" t="s">
        <v>20</v>
      </c>
      <c r="D160" s="51" t="s">
        <v>60</v>
      </c>
      <c r="E160" s="50">
        <v>77</v>
      </c>
      <c r="F160" s="50">
        <f>[1]标准人!B78*0.76</f>
        <v>2386.4</v>
      </c>
      <c r="G160" s="50">
        <f>[1]标准人!C78*1.33</f>
        <v>1778.9016</v>
      </c>
      <c r="H160" s="52">
        <f>[1]标准人!D78*2</f>
        <v>34400</v>
      </c>
      <c r="I160" s="51">
        <v>0.4</v>
      </c>
      <c r="J160" s="51">
        <v>2</v>
      </c>
      <c r="K160" s="51">
        <v>1</v>
      </c>
      <c r="L160" s="52">
        <f t="shared" si="2"/>
        <v>166640.096761905</v>
      </c>
    </row>
    <row r="161" ht="15.6" spans="1:12">
      <c r="A161" s="51">
        <v>2</v>
      </c>
      <c r="B161" s="51" t="s">
        <v>59</v>
      </c>
      <c r="C161" s="50" t="s">
        <v>20</v>
      </c>
      <c r="D161" s="51" t="s">
        <v>60</v>
      </c>
      <c r="E161" s="50">
        <v>78</v>
      </c>
      <c r="F161" s="50">
        <f>[1]标准人!B79*0.76</f>
        <v>2416.8</v>
      </c>
      <c r="G161" s="50">
        <f>[1]标准人!C79*1.33</f>
        <v>1793.5582</v>
      </c>
      <c r="H161" s="52">
        <f>[1]标准人!D79*2</f>
        <v>34800</v>
      </c>
      <c r="I161" s="51">
        <v>0.4</v>
      </c>
      <c r="J161" s="51">
        <v>2</v>
      </c>
      <c r="K161" s="51">
        <v>1</v>
      </c>
      <c r="L161" s="52">
        <f t="shared" si="2"/>
        <v>168573.29352381</v>
      </c>
    </row>
    <row r="162" ht="15.6" spans="1:12">
      <c r="A162" s="51">
        <v>2</v>
      </c>
      <c r="B162" s="51" t="s">
        <v>59</v>
      </c>
      <c r="C162" s="50" t="s">
        <v>20</v>
      </c>
      <c r="D162" s="51" t="s">
        <v>60</v>
      </c>
      <c r="E162" s="50">
        <v>79</v>
      </c>
      <c r="F162" s="50">
        <f>[1]标准人!B80*0.76</f>
        <v>2447.2</v>
      </c>
      <c r="G162" s="50">
        <f>[1]标准人!C80*1.33</f>
        <v>1808.2148</v>
      </c>
      <c r="H162" s="52">
        <f>[1]标准人!D80*2</f>
        <v>35200</v>
      </c>
      <c r="I162" s="51">
        <v>0.4</v>
      </c>
      <c r="J162" s="51">
        <v>2</v>
      </c>
      <c r="K162" s="51">
        <v>1</v>
      </c>
      <c r="L162" s="52">
        <f t="shared" si="2"/>
        <v>170506.490285714</v>
      </c>
    </row>
    <row r="163" ht="15.6" spans="1:12">
      <c r="A163" s="51">
        <v>2</v>
      </c>
      <c r="B163" s="51" t="s">
        <v>59</v>
      </c>
      <c r="C163" s="50" t="s">
        <v>20</v>
      </c>
      <c r="D163" s="51" t="s">
        <v>60</v>
      </c>
      <c r="E163" s="50">
        <v>80</v>
      </c>
      <c r="F163" s="50">
        <f>[1]标准人!B81*0.76</f>
        <v>2477.6</v>
      </c>
      <c r="G163" s="50">
        <f>[1]标准人!C81*1.33</f>
        <v>1822.8714</v>
      </c>
      <c r="H163" s="52">
        <f>[1]标准人!D81*2</f>
        <v>35600</v>
      </c>
      <c r="I163" s="51">
        <v>0.4</v>
      </c>
      <c r="J163" s="51">
        <v>2</v>
      </c>
      <c r="K163" s="51">
        <v>1</v>
      </c>
      <c r="L163" s="52">
        <f t="shared" si="2"/>
        <v>172439.687047619</v>
      </c>
    </row>
    <row r="164" ht="15.6" spans="1:12">
      <c r="A164" s="51">
        <v>3</v>
      </c>
      <c r="B164" s="51" t="s">
        <v>61</v>
      </c>
      <c r="C164" s="50" t="s">
        <v>21</v>
      </c>
      <c r="D164" s="51" t="s">
        <v>58</v>
      </c>
      <c r="E164" s="50">
        <v>1</v>
      </c>
      <c r="F164" s="50">
        <f>[1]标准人!B2*1.2</f>
        <v>120</v>
      </c>
      <c r="G164" s="50">
        <f>[1]标准人!C2*1.2</f>
        <v>600</v>
      </c>
      <c r="H164" s="50">
        <f>[1]标准人!D2*0.74</f>
        <v>1480</v>
      </c>
      <c r="I164" s="51">
        <v>0.4</v>
      </c>
      <c r="J164" s="51">
        <v>2</v>
      </c>
      <c r="K164" s="51">
        <v>1</v>
      </c>
      <c r="L164" s="52">
        <f t="shared" si="2"/>
        <v>15800.2</v>
      </c>
    </row>
    <row r="165" ht="15.6" spans="1:12">
      <c r="A165" s="51">
        <v>3</v>
      </c>
      <c r="B165" s="51" t="s">
        <v>61</v>
      </c>
      <c r="C165" s="50" t="s">
        <v>21</v>
      </c>
      <c r="D165" s="51" t="s">
        <v>58</v>
      </c>
      <c r="E165" s="50">
        <v>2</v>
      </c>
      <c r="F165" s="50">
        <f>[1]标准人!B3*1.2</f>
        <v>168</v>
      </c>
      <c r="G165" s="50">
        <f>[1]标准人!C3*1.2</f>
        <v>613.224</v>
      </c>
      <c r="H165" s="50">
        <f>[1]标准人!D3*0.74</f>
        <v>1628</v>
      </c>
      <c r="I165" s="51">
        <v>0.4</v>
      </c>
      <c r="J165" s="51">
        <v>2</v>
      </c>
      <c r="K165" s="51">
        <v>1</v>
      </c>
      <c r="L165" s="52">
        <f t="shared" si="2"/>
        <v>17523.722072</v>
      </c>
    </row>
    <row r="166" ht="15.6" spans="1:12">
      <c r="A166" s="51">
        <v>3</v>
      </c>
      <c r="B166" s="51" t="s">
        <v>61</v>
      </c>
      <c r="C166" s="50" t="s">
        <v>21</v>
      </c>
      <c r="D166" s="51" t="s">
        <v>58</v>
      </c>
      <c r="E166" s="50">
        <v>3</v>
      </c>
      <c r="F166" s="50">
        <f>[1]标准人!B4*1.2</f>
        <v>216</v>
      </c>
      <c r="G166" s="50">
        <f>[1]标准人!C4*1.2</f>
        <v>626.448</v>
      </c>
      <c r="H166" s="50">
        <f>[1]标准人!D4*0.74</f>
        <v>1776</v>
      </c>
      <c r="I166" s="51">
        <v>0.4</v>
      </c>
      <c r="J166" s="51">
        <v>2</v>
      </c>
      <c r="K166" s="51">
        <v>1</v>
      </c>
      <c r="L166" s="52">
        <f t="shared" si="2"/>
        <v>19247.244144</v>
      </c>
    </row>
    <row r="167" ht="15.6" spans="1:12">
      <c r="A167" s="51">
        <v>3</v>
      </c>
      <c r="B167" s="51" t="s">
        <v>61</v>
      </c>
      <c r="C167" s="50" t="s">
        <v>21</v>
      </c>
      <c r="D167" s="51" t="s">
        <v>58</v>
      </c>
      <c r="E167" s="50">
        <v>4</v>
      </c>
      <c r="F167" s="50">
        <f>[1]标准人!B5*1.2</f>
        <v>264</v>
      </c>
      <c r="G167" s="50">
        <f>[1]标准人!C5*1.2</f>
        <v>639.672</v>
      </c>
      <c r="H167" s="50">
        <f>[1]标准人!D5*0.74</f>
        <v>1924</v>
      </c>
      <c r="I167" s="51">
        <v>0.4</v>
      </c>
      <c r="J167" s="51">
        <v>2</v>
      </c>
      <c r="K167" s="51">
        <v>1</v>
      </c>
      <c r="L167" s="52">
        <f t="shared" si="2"/>
        <v>20970.766216</v>
      </c>
    </row>
    <row r="168" ht="15.6" spans="1:12">
      <c r="A168" s="51">
        <v>3</v>
      </c>
      <c r="B168" s="51" t="s">
        <v>61</v>
      </c>
      <c r="C168" s="50" t="s">
        <v>21</v>
      </c>
      <c r="D168" s="51" t="s">
        <v>58</v>
      </c>
      <c r="E168" s="50">
        <v>5</v>
      </c>
      <c r="F168" s="50">
        <f>[1]标准人!B6*1.2</f>
        <v>312</v>
      </c>
      <c r="G168" s="50">
        <f>[1]标准人!C6*1.2</f>
        <v>652.896</v>
      </c>
      <c r="H168" s="50">
        <f>[1]标准人!D6*0.74</f>
        <v>2072</v>
      </c>
      <c r="I168" s="51">
        <v>0.4</v>
      </c>
      <c r="J168" s="51">
        <v>2</v>
      </c>
      <c r="K168" s="51">
        <v>1</v>
      </c>
      <c r="L168" s="52">
        <f t="shared" si="2"/>
        <v>22694.288288</v>
      </c>
    </row>
    <row r="169" ht="15.6" spans="1:12">
      <c r="A169" s="51">
        <v>3</v>
      </c>
      <c r="B169" s="51" t="s">
        <v>61</v>
      </c>
      <c r="C169" s="50" t="s">
        <v>21</v>
      </c>
      <c r="D169" s="51" t="s">
        <v>58</v>
      </c>
      <c r="E169" s="50">
        <v>6</v>
      </c>
      <c r="F169" s="50">
        <f>[1]标准人!B7*1.2</f>
        <v>360</v>
      </c>
      <c r="G169" s="50">
        <f>[1]标准人!C7*1.2</f>
        <v>666.12</v>
      </c>
      <c r="H169" s="50">
        <f>[1]标准人!D7*0.74</f>
        <v>2220</v>
      </c>
      <c r="I169" s="51">
        <v>0.4</v>
      </c>
      <c r="J169" s="51">
        <v>2</v>
      </c>
      <c r="K169" s="51">
        <v>1</v>
      </c>
      <c r="L169" s="52">
        <f t="shared" si="2"/>
        <v>24417.81036</v>
      </c>
    </row>
    <row r="170" ht="15.6" spans="1:12">
      <c r="A170" s="51">
        <v>3</v>
      </c>
      <c r="B170" s="51" t="s">
        <v>61</v>
      </c>
      <c r="C170" s="50" t="s">
        <v>21</v>
      </c>
      <c r="D170" s="51" t="s">
        <v>58</v>
      </c>
      <c r="E170" s="50">
        <v>7</v>
      </c>
      <c r="F170" s="50">
        <f>[1]标准人!B8*1.2</f>
        <v>408</v>
      </c>
      <c r="G170" s="50">
        <f>[1]标准人!C8*1.2</f>
        <v>679.344</v>
      </c>
      <c r="H170" s="50">
        <f>[1]标准人!D8*0.74</f>
        <v>2368</v>
      </c>
      <c r="I170" s="51">
        <v>0.4</v>
      </c>
      <c r="J170" s="51">
        <v>2</v>
      </c>
      <c r="K170" s="51">
        <v>1</v>
      </c>
      <c r="L170" s="52">
        <f t="shared" si="2"/>
        <v>26141.332432</v>
      </c>
    </row>
    <row r="171" ht="15.6" spans="1:12">
      <c r="A171" s="51">
        <v>3</v>
      </c>
      <c r="B171" s="51" t="s">
        <v>61</v>
      </c>
      <c r="C171" s="50" t="s">
        <v>21</v>
      </c>
      <c r="D171" s="51" t="s">
        <v>58</v>
      </c>
      <c r="E171" s="50">
        <v>8</v>
      </c>
      <c r="F171" s="50">
        <f>[1]标准人!B9*1.2</f>
        <v>456</v>
      </c>
      <c r="G171" s="50">
        <f>[1]标准人!C9*1.2</f>
        <v>692.568</v>
      </c>
      <c r="H171" s="50">
        <f>[1]标准人!D9*0.74</f>
        <v>2516</v>
      </c>
      <c r="I171" s="51">
        <v>0.4</v>
      </c>
      <c r="J171" s="51">
        <v>2</v>
      </c>
      <c r="K171" s="51">
        <v>1</v>
      </c>
      <c r="L171" s="52">
        <f t="shared" si="2"/>
        <v>27864.854504</v>
      </c>
    </row>
    <row r="172" ht="15.6" spans="1:12">
      <c r="A172" s="51">
        <v>3</v>
      </c>
      <c r="B172" s="51" t="s">
        <v>61</v>
      </c>
      <c r="C172" s="50" t="s">
        <v>21</v>
      </c>
      <c r="D172" s="51" t="s">
        <v>58</v>
      </c>
      <c r="E172" s="50">
        <v>9</v>
      </c>
      <c r="F172" s="50">
        <f>[1]标准人!B10*1.2</f>
        <v>504</v>
      </c>
      <c r="G172" s="50">
        <f>[1]标准人!C10*1.2</f>
        <v>705.792</v>
      </c>
      <c r="H172" s="50">
        <f>[1]标准人!D10*0.74</f>
        <v>2664</v>
      </c>
      <c r="I172" s="51">
        <v>0.4</v>
      </c>
      <c r="J172" s="51">
        <v>2</v>
      </c>
      <c r="K172" s="51">
        <v>1</v>
      </c>
      <c r="L172" s="52">
        <f t="shared" si="2"/>
        <v>29588.376576</v>
      </c>
    </row>
    <row r="173" ht="15.6" spans="1:12">
      <c r="A173" s="51">
        <v>3</v>
      </c>
      <c r="B173" s="51" t="s">
        <v>61</v>
      </c>
      <c r="C173" s="50" t="s">
        <v>21</v>
      </c>
      <c r="D173" s="51" t="s">
        <v>58</v>
      </c>
      <c r="E173" s="50">
        <v>10</v>
      </c>
      <c r="F173" s="50">
        <f>[1]标准人!B11*1.2</f>
        <v>552</v>
      </c>
      <c r="G173" s="50">
        <f>[1]标准人!C11*1.2</f>
        <v>719.016</v>
      </c>
      <c r="H173" s="50">
        <f>[1]标准人!D11*0.74</f>
        <v>2812</v>
      </c>
      <c r="I173" s="51">
        <v>0.4</v>
      </c>
      <c r="J173" s="51">
        <v>2</v>
      </c>
      <c r="K173" s="51">
        <v>1</v>
      </c>
      <c r="L173" s="52">
        <f t="shared" si="2"/>
        <v>31311.898648</v>
      </c>
    </row>
    <row r="174" ht="15.6" spans="1:12">
      <c r="A174" s="51">
        <v>3</v>
      </c>
      <c r="B174" s="51" t="s">
        <v>61</v>
      </c>
      <c r="C174" s="50" t="s">
        <v>21</v>
      </c>
      <c r="D174" s="51" t="s">
        <v>58</v>
      </c>
      <c r="E174" s="50">
        <v>11</v>
      </c>
      <c r="F174" s="50">
        <f>[1]标准人!B12*1.2</f>
        <v>600</v>
      </c>
      <c r="G174" s="50">
        <f>[1]标准人!C12*1.2</f>
        <v>732.24</v>
      </c>
      <c r="H174" s="50">
        <f>[1]标准人!D12*0.74</f>
        <v>2960</v>
      </c>
      <c r="I174" s="51">
        <v>0.4</v>
      </c>
      <c r="J174" s="51">
        <v>2</v>
      </c>
      <c r="K174" s="51">
        <v>1</v>
      </c>
      <c r="L174" s="52">
        <f t="shared" si="2"/>
        <v>33035.42072</v>
      </c>
    </row>
    <row r="175" ht="15.6" spans="1:12">
      <c r="A175" s="51">
        <v>3</v>
      </c>
      <c r="B175" s="51" t="s">
        <v>61</v>
      </c>
      <c r="C175" s="50" t="s">
        <v>21</v>
      </c>
      <c r="D175" s="51" t="s">
        <v>58</v>
      </c>
      <c r="E175" s="50">
        <v>12</v>
      </c>
      <c r="F175" s="50">
        <f>[1]标准人!B13*1.2</f>
        <v>648</v>
      </c>
      <c r="G175" s="50">
        <f>[1]标准人!C13*1.2</f>
        <v>745.464</v>
      </c>
      <c r="H175" s="50">
        <f>[1]标准人!D13*0.74</f>
        <v>3108</v>
      </c>
      <c r="I175" s="51">
        <v>0.4</v>
      </c>
      <c r="J175" s="51">
        <v>2</v>
      </c>
      <c r="K175" s="51">
        <v>1</v>
      </c>
      <c r="L175" s="52">
        <f t="shared" si="2"/>
        <v>34758.942792</v>
      </c>
    </row>
    <row r="176" ht="15.6" spans="1:12">
      <c r="A176" s="51">
        <v>3</v>
      </c>
      <c r="B176" s="51" t="s">
        <v>61</v>
      </c>
      <c r="C176" s="50" t="s">
        <v>21</v>
      </c>
      <c r="D176" s="51" t="s">
        <v>58</v>
      </c>
      <c r="E176" s="50">
        <v>13</v>
      </c>
      <c r="F176" s="50">
        <f>[1]标准人!B14*1.2</f>
        <v>696</v>
      </c>
      <c r="G176" s="50">
        <f>[1]标准人!C14*1.2</f>
        <v>758.688</v>
      </c>
      <c r="H176" s="50">
        <f>[1]标准人!D14*0.74</f>
        <v>3256</v>
      </c>
      <c r="I176" s="51">
        <v>0.4</v>
      </c>
      <c r="J176" s="51">
        <v>2</v>
      </c>
      <c r="K176" s="51">
        <v>1</v>
      </c>
      <c r="L176" s="52">
        <f t="shared" si="2"/>
        <v>36482.464864</v>
      </c>
    </row>
    <row r="177" ht="15.6" spans="1:12">
      <c r="A177" s="51">
        <v>3</v>
      </c>
      <c r="B177" s="51" t="s">
        <v>61</v>
      </c>
      <c r="C177" s="50" t="s">
        <v>21</v>
      </c>
      <c r="D177" s="51" t="s">
        <v>58</v>
      </c>
      <c r="E177" s="50">
        <v>14</v>
      </c>
      <c r="F177" s="50">
        <f>[1]标准人!B15*1.2</f>
        <v>744</v>
      </c>
      <c r="G177" s="50">
        <f>[1]标准人!C15*1.2</f>
        <v>771.912</v>
      </c>
      <c r="H177" s="50">
        <f>[1]标准人!D15*0.74</f>
        <v>3404</v>
      </c>
      <c r="I177" s="51">
        <v>0.4</v>
      </c>
      <c r="J177" s="51">
        <v>2</v>
      </c>
      <c r="K177" s="51">
        <v>1</v>
      </c>
      <c r="L177" s="52">
        <f t="shared" si="2"/>
        <v>38205.986936</v>
      </c>
    </row>
    <row r="178" ht="15.6" spans="1:12">
      <c r="A178" s="51">
        <v>3</v>
      </c>
      <c r="B178" s="51" t="s">
        <v>61</v>
      </c>
      <c r="C178" s="50" t="s">
        <v>21</v>
      </c>
      <c r="D178" s="51" t="s">
        <v>58</v>
      </c>
      <c r="E178" s="50">
        <v>15</v>
      </c>
      <c r="F178" s="50">
        <f>[1]标准人!B16*1.2</f>
        <v>792</v>
      </c>
      <c r="G178" s="50">
        <f>[1]标准人!C16*1.2</f>
        <v>785.136</v>
      </c>
      <c r="H178" s="50">
        <f>[1]标准人!D16*0.74</f>
        <v>3552</v>
      </c>
      <c r="I178" s="51">
        <v>0.4</v>
      </c>
      <c r="J178" s="51">
        <v>2</v>
      </c>
      <c r="K178" s="51">
        <v>1</v>
      </c>
      <c r="L178" s="52">
        <f t="shared" si="2"/>
        <v>39929.509008</v>
      </c>
    </row>
    <row r="179" ht="15.6" spans="1:12">
      <c r="A179" s="51">
        <v>3</v>
      </c>
      <c r="B179" s="51" t="s">
        <v>61</v>
      </c>
      <c r="C179" s="50" t="s">
        <v>21</v>
      </c>
      <c r="D179" s="51" t="s">
        <v>58</v>
      </c>
      <c r="E179" s="50">
        <v>16</v>
      </c>
      <c r="F179" s="50">
        <f>[1]标准人!B17*1.2</f>
        <v>840</v>
      </c>
      <c r="G179" s="50">
        <f>[1]标准人!C17*1.2</f>
        <v>798.36</v>
      </c>
      <c r="H179" s="50">
        <f>[1]标准人!D17*0.74</f>
        <v>3700</v>
      </c>
      <c r="I179" s="51">
        <v>0.4</v>
      </c>
      <c r="J179" s="51">
        <v>2</v>
      </c>
      <c r="K179" s="51">
        <v>1</v>
      </c>
      <c r="L179" s="52">
        <f t="shared" si="2"/>
        <v>41653.03108</v>
      </c>
    </row>
    <row r="180" ht="15.6" spans="1:12">
      <c r="A180" s="51">
        <v>3</v>
      </c>
      <c r="B180" s="51" t="s">
        <v>61</v>
      </c>
      <c r="C180" s="50" t="s">
        <v>21</v>
      </c>
      <c r="D180" s="51" t="s">
        <v>58</v>
      </c>
      <c r="E180" s="50">
        <v>17</v>
      </c>
      <c r="F180" s="50">
        <f>[1]标准人!B18*1.2</f>
        <v>888</v>
      </c>
      <c r="G180" s="50">
        <f>[1]标准人!C18*1.2</f>
        <v>811.584</v>
      </c>
      <c r="H180" s="50">
        <f>[1]标准人!D18*0.74</f>
        <v>3848</v>
      </c>
      <c r="I180" s="51">
        <v>0.4</v>
      </c>
      <c r="J180" s="51">
        <v>2</v>
      </c>
      <c r="K180" s="51">
        <v>1</v>
      </c>
      <c r="L180" s="52">
        <f t="shared" si="2"/>
        <v>43376.553152</v>
      </c>
    </row>
    <row r="181" ht="15.6" spans="1:12">
      <c r="A181" s="51">
        <v>3</v>
      </c>
      <c r="B181" s="51" t="s">
        <v>61</v>
      </c>
      <c r="C181" s="50" t="s">
        <v>21</v>
      </c>
      <c r="D181" s="51" t="s">
        <v>58</v>
      </c>
      <c r="E181" s="50">
        <v>18</v>
      </c>
      <c r="F181" s="50">
        <f>[1]标准人!B19*1.2</f>
        <v>936</v>
      </c>
      <c r="G181" s="50">
        <f>[1]标准人!C19*1.2</f>
        <v>824.808</v>
      </c>
      <c r="H181" s="50">
        <f>[1]标准人!D19*0.74</f>
        <v>3996</v>
      </c>
      <c r="I181" s="51">
        <v>0.4</v>
      </c>
      <c r="J181" s="51">
        <v>2</v>
      </c>
      <c r="K181" s="51">
        <v>1</v>
      </c>
      <c r="L181" s="52">
        <f t="shared" si="2"/>
        <v>45100.075224</v>
      </c>
    </row>
    <row r="182" ht="15.6" spans="1:12">
      <c r="A182" s="51">
        <v>3</v>
      </c>
      <c r="B182" s="51" t="s">
        <v>61</v>
      </c>
      <c r="C182" s="50" t="s">
        <v>21</v>
      </c>
      <c r="D182" s="51" t="s">
        <v>58</v>
      </c>
      <c r="E182" s="50">
        <v>19</v>
      </c>
      <c r="F182" s="50">
        <f>[1]标准人!B20*1.2</f>
        <v>984</v>
      </c>
      <c r="G182" s="50">
        <f>[1]标准人!C20*1.2</f>
        <v>838.032</v>
      </c>
      <c r="H182" s="50">
        <f>[1]标准人!D20*0.74</f>
        <v>4144</v>
      </c>
      <c r="I182" s="51">
        <v>0.4</v>
      </c>
      <c r="J182" s="51">
        <v>2</v>
      </c>
      <c r="K182" s="51">
        <v>1</v>
      </c>
      <c r="L182" s="52">
        <f t="shared" si="2"/>
        <v>46823.597296</v>
      </c>
    </row>
    <row r="183" ht="15.6" spans="1:12">
      <c r="A183" s="51">
        <v>3</v>
      </c>
      <c r="B183" s="51" t="s">
        <v>61</v>
      </c>
      <c r="C183" s="50" t="s">
        <v>21</v>
      </c>
      <c r="D183" s="51" t="s">
        <v>58</v>
      </c>
      <c r="E183" s="50">
        <v>20</v>
      </c>
      <c r="F183" s="50">
        <f>[1]标准人!B21*1.2</f>
        <v>1032</v>
      </c>
      <c r="G183" s="50">
        <f>[1]标准人!C21*1.2</f>
        <v>851.256</v>
      </c>
      <c r="H183" s="50">
        <f>[1]标准人!D21*0.74</f>
        <v>4292</v>
      </c>
      <c r="I183" s="51">
        <v>0.4</v>
      </c>
      <c r="J183" s="51">
        <v>2</v>
      </c>
      <c r="K183" s="51">
        <v>1</v>
      </c>
      <c r="L183" s="52">
        <f t="shared" si="2"/>
        <v>48547.119368</v>
      </c>
    </row>
    <row r="184" ht="15.6" spans="1:12">
      <c r="A184" s="51">
        <v>3</v>
      </c>
      <c r="B184" s="51" t="s">
        <v>61</v>
      </c>
      <c r="C184" s="50" t="s">
        <v>21</v>
      </c>
      <c r="D184" s="51" t="s">
        <v>58</v>
      </c>
      <c r="E184" s="50">
        <v>21</v>
      </c>
      <c r="F184" s="50">
        <f>[1]标准人!B22*1.2</f>
        <v>1080</v>
      </c>
      <c r="G184" s="50">
        <f>[1]标准人!C22*1.2</f>
        <v>864.48</v>
      </c>
      <c r="H184" s="50">
        <f>[1]标准人!D22*0.74</f>
        <v>4440</v>
      </c>
      <c r="I184" s="51">
        <v>0.4</v>
      </c>
      <c r="J184" s="51">
        <v>2</v>
      </c>
      <c r="K184" s="51">
        <v>1</v>
      </c>
      <c r="L184" s="52">
        <f t="shared" si="2"/>
        <v>50270.64144</v>
      </c>
    </row>
    <row r="185" ht="15.6" spans="1:12">
      <c r="A185" s="51">
        <v>3</v>
      </c>
      <c r="B185" s="51" t="s">
        <v>61</v>
      </c>
      <c r="C185" s="50" t="s">
        <v>21</v>
      </c>
      <c r="D185" s="51" t="s">
        <v>58</v>
      </c>
      <c r="E185" s="50">
        <v>22</v>
      </c>
      <c r="F185" s="50">
        <f>[1]标准人!B23*1.2</f>
        <v>1128</v>
      </c>
      <c r="G185" s="50">
        <f>[1]标准人!C23*1.2</f>
        <v>877.704</v>
      </c>
      <c r="H185" s="50">
        <f>[1]标准人!D23*0.74</f>
        <v>4588</v>
      </c>
      <c r="I185" s="51">
        <v>0.4</v>
      </c>
      <c r="J185" s="51">
        <v>2</v>
      </c>
      <c r="K185" s="51">
        <v>1</v>
      </c>
      <c r="L185" s="52">
        <f t="shared" si="2"/>
        <v>51994.163512</v>
      </c>
    </row>
    <row r="186" ht="15.6" spans="1:12">
      <c r="A186" s="51">
        <v>3</v>
      </c>
      <c r="B186" s="51" t="s">
        <v>61</v>
      </c>
      <c r="C186" s="50" t="s">
        <v>21</v>
      </c>
      <c r="D186" s="51" t="s">
        <v>58</v>
      </c>
      <c r="E186" s="50">
        <v>23</v>
      </c>
      <c r="F186" s="50">
        <f>[1]标准人!B24*1.2</f>
        <v>1176</v>
      </c>
      <c r="G186" s="50">
        <f>[1]标准人!C24*1.2</f>
        <v>890.928</v>
      </c>
      <c r="H186" s="50">
        <f>[1]标准人!D24*0.74</f>
        <v>4736</v>
      </c>
      <c r="I186" s="51">
        <v>0.4</v>
      </c>
      <c r="J186" s="51">
        <v>2</v>
      </c>
      <c r="K186" s="51">
        <v>1</v>
      </c>
      <c r="L186" s="52">
        <f t="shared" si="2"/>
        <v>53717.685584</v>
      </c>
    </row>
    <row r="187" ht="15.6" spans="1:12">
      <c r="A187" s="51">
        <v>3</v>
      </c>
      <c r="B187" s="51" t="s">
        <v>61</v>
      </c>
      <c r="C187" s="50" t="s">
        <v>21</v>
      </c>
      <c r="D187" s="51" t="s">
        <v>58</v>
      </c>
      <c r="E187" s="50">
        <v>24</v>
      </c>
      <c r="F187" s="50">
        <f>[1]标准人!B25*1.2</f>
        <v>1224</v>
      </c>
      <c r="G187" s="50">
        <f>[1]标准人!C25*1.2</f>
        <v>904.152</v>
      </c>
      <c r="H187" s="50">
        <f>[1]标准人!D25*0.74</f>
        <v>4884</v>
      </c>
      <c r="I187" s="51">
        <v>0.4</v>
      </c>
      <c r="J187" s="51">
        <v>2</v>
      </c>
      <c r="K187" s="51">
        <v>1</v>
      </c>
      <c r="L187" s="52">
        <f t="shared" si="2"/>
        <v>55441.207656</v>
      </c>
    </row>
    <row r="188" ht="15.6" spans="1:12">
      <c r="A188" s="51">
        <v>3</v>
      </c>
      <c r="B188" s="51" t="s">
        <v>61</v>
      </c>
      <c r="C188" s="50" t="s">
        <v>21</v>
      </c>
      <c r="D188" s="51" t="s">
        <v>58</v>
      </c>
      <c r="E188" s="50">
        <v>25</v>
      </c>
      <c r="F188" s="50">
        <f>[1]标准人!B26*1.2</f>
        <v>1272</v>
      </c>
      <c r="G188" s="50">
        <f>[1]标准人!C26*1.2</f>
        <v>917.376</v>
      </c>
      <c r="H188" s="50">
        <f>[1]标准人!D26*0.74</f>
        <v>5032</v>
      </c>
      <c r="I188" s="51">
        <v>0.4</v>
      </c>
      <c r="J188" s="51">
        <v>2</v>
      </c>
      <c r="K188" s="51">
        <v>1</v>
      </c>
      <c r="L188" s="52">
        <f t="shared" si="2"/>
        <v>57164.729728</v>
      </c>
    </row>
    <row r="189" ht="15.6" spans="1:12">
      <c r="A189" s="51">
        <v>3</v>
      </c>
      <c r="B189" s="51" t="s">
        <v>61</v>
      </c>
      <c r="C189" s="50" t="s">
        <v>21</v>
      </c>
      <c r="D189" s="51" t="s">
        <v>58</v>
      </c>
      <c r="E189" s="50">
        <v>26</v>
      </c>
      <c r="F189" s="50">
        <f>[1]标准人!B27*1.2</f>
        <v>1320</v>
      </c>
      <c r="G189" s="50">
        <f>[1]标准人!C27*1.2</f>
        <v>930.6</v>
      </c>
      <c r="H189" s="50">
        <f>[1]标准人!D27*0.74</f>
        <v>5180</v>
      </c>
      <c r="I189" s="51">
        <v>0.4</v>
      </c>
      <c r="J189" s="51">
        <v>2</v>
      </c>
      <c r="K189" s="51">
        <v>1</v>
      </c>
      <c r="L189" s="52">
        <f t="shared" si="2"/>
        <v>58888.2518</v>
      </c>
    </row>
    <row r="190" ht="15.6" spans="1:12">
      <c r="A190" s="51">
        <v>3</v>
      </c>
      <c r="B190" s="51" t="s">
        <v>61</v>
      </c>
      <c r="C190" s="50" t="s">
        <v>21</v>
      </c>
      <c r="D190" s="51" t="s">
        <v>58</v>
      </c>
      <c r="E190" s="50">
        <v>27</v>
      </c>
      <c r="F190" s="50">
        <f>[1]标准人!B28*1.2</f>
        <v>1368</v>
      </c>
      <c r="G190" s="50">
        <f>[1]标准人!C28*1.2</f>
        <v>943.824</v>
      </c>
      <c r="H190" s="50">
        <f>[1]标准人!D28*0.74</f>
        <v>5328</v>
      </c>
      <c r="I190" s="51">
        <v>0.4</v>
      </c>
      <c r="J190" s="51">
        <v>2</v>
      </c>
      <c r="K190" s="51">
        <v>1</v>
      </c>
      <c r="L190" s="52">
        <f t="shared" si="2"/>
        <v>60611.773872</v>
      </c>
    </row>
    <row r="191" ht="15.6" spans="1:12">
      <c r="A191" s="51">
        <v>3</v>
      </c>
      <c r="B191" s="51" t="s">
        <v>61</v>
      </c>
      <c r="C191" s="50" t="s">
        <v>21</v>
      </c>
      <c r="D191" s="51" t="s">
        <v>58</v>
      </c>
      <c r="E191" s="50">
        <v>28</v>
      </c>
      <c r="F191" s="50">
        <f>[1]标准人!B29*1.2</f>
        <v>1416</v>
      </c>
      <c r="G191" s="50">
        <f>[1]标准人!C29*1.2</f>
        <v>957.048</v>
      </c>
      <c r="H191" s="50">
        <f>[1]标准人!D29*0.74</f>
        <v>5476</v>
      </c>
      <c r="I191" s="51">
        <v>0.4</v>
      </c>
      <c r="J191" s="51">
        <v>2</v>
      </c>
      <c r="K191" s="51">
        <v>1</v>
      </c>
      <c r="L191" s="52">
        <f t="shared" si="2"/>
        <v>62335.295944</v>
      </c>
    </row>
    <row r="192" ht="15.6" spans="1:12">
      <c r="A192" s="51">
        <v>3</v>
      </c>
      <c r="B192" s="51" t="s">
        <v>61</v>
      </c>
      <c r="C192" s="50" t="s">
        <v>21</v>
      </c>
      <c r="D192" s="51" t="s">
        <v>58</v>
      </c>
      <c r="E192" s="50">
        <v>29</v>
      </c>
      <c r="F192" s="50">
        <f>[1]标准人!B30*1.2</f>
        <v>1464</v>
      </c>
      <c r="G192" s="50">
        <f>[1]标准人!C30*1.2</f>
        <v>970.272</v>
      </c>
      <c r="H192" s="50">
        <f>[1]标准人!D30*0.74</f>
        <v>5624</v>
      </c>
      <c r="I192" s="51">
        <v>0.4</v>
      </c>
      <c r="J192" s="51">
        <v>2</v>
      </c>
      <c r="K192" s="51">
        <v>1</v>
      </c>
      <c r="L192" s="52">
        <f t="shared" si="2"/>
        <v>64058.818016</v>
      </c>
    </row>
    <row r="193" ht="15.6" spans="1:12">
      <c r="A193" s="51">
        <v>3</v>
      </c>
      <c r="B193" s="51" t="s">
        <v>61</v>
      </c>
      <c r="C193" s="50" t="s">
        <v>21</v>
      </c>
      <c r="D193" s="51" t="s">
        <v>58</v>
      </c>
      <c r="E193" s="50">
        <v>30</v>
      </c>
      <c r="F193" s="50">
        <f>[1]标准人!B31*1.2</f>
        <v>1512</v>
      </c>
      <c r="G193" s="50">
        <f>[1]标准人!C31*1.2</f>
        <v>983.496</v>
      </c>
      <c r="H193" s="50">
        <f>[1]标准人!D31*0.74</f>
        <v>5772</v>
      </c>
      <c r="I193" s="51">
        <v>0.4</v>
      </c>
      <c r="J193" s="51">
        <v>2</v>
      </c>
      <c r="K193" s="51">
        <v>1</v>
      </c>
      <c r="L193" s="52">
        <f t="shared" si="2"/>
        <v>65782.340088</v>
      </c>
    </row>
    <row r="194" ht="15.6" spans="1:12">
      <c r="A194" s="51">
        <v>3</v>
      </c>
      <c r="B194" s="51" t="s">
        <v>61</v>
      </c>
      <c r="C194" s="50" t="s">
        <v>21</v>
      </c>
      <c r="D194" s="51" t="s">
        <v>58</v>
      </c>
      <c r="E194" s="50">
        <v>31</v>
      </c>
      <c r="F194" s="50">
        <f>[1]标准人!B32*1.2</f>
        <v>1560</v>
      </c>
      <c r="G194" s="50">
        <f>[1]标准人!C32*1.2</f>
        <v>996.72</v>
      </c>
      <c r="H194" s="50">
        <f>[1]标准人!D32*0.74</f>
        <v>5920</v>
      </c>
      <c r="I194" s="51">
        <v>0.4</v>
      </c>
      <c r="J194" s="51">
        <v>2</v>
      </c>
      <c r="K194" s="51">
        <v>1</v>
      </c>
      <c r="L194" s="52">
        <f t="shared" si="2"/>
        <v>67505.86216</v>
      </c>
    </row>
    <row r="195" ht="15.6" spans="1:12">
      <c r="A195" s="51">
        <v>3</v>
      </c>
      <c r="B195" s="51" t="s">
        <v>61</v>
      </c>
      <c r="C195" s="50" t="s">
        <v>21</v>
      </c>
      <c r="D195" s="51" t="s">
        <v>58</v>
      </c>
      <c r="E195" s="50">
        <v>32</v>
      </c>
      <c r="F195" s="50">
        <f>[1]标准人!B33*1.2</f>
        <v>1608</v>
      </c>
      <c r="G195" s="50">
        <f>[1]标准人!C33*1.2</f>
        <v>1009.944</v>
      </c>
      <c r="H195" s="50">
        <f>[1]标准人!D33*0.74</f>
        <v>6068</v>
      </c>
      <c r="I195" s="51">
        <v>0.4</v>
      </c>
      <c r="J195" s="51">
        <v>2</v>
      </c>
      <c r="K195" s="51">
        <v>1</v>
      </c>
      <c r="L195" s="52">
        <f t="shared" si="2"/>
        <v>69229.384232</v>
      </c>
    </row>
    <row r="196" ht="15.6" spans="1:12">
      <c r="A196" s="51">
        <v>3</v>
      </c>
      <c r="B196" s="51" t="s">
        <v>61</v>
      </c>
      <c r="C196" s="50" t="s">
        <v>21</v>
      </c>
      <c r="D196" s="51" t="s">
        <v>58</v>
      </c>
      <c r="E196" s="50">
        <v>33</v>
      </c>
      <c r="F196" s="50">
        <f>[1]标准人!B34*1.2</f>
        <v>1656</v>
      </c>
      <c r="G196" s="50">
        <f>[1]标准人!C34*1.2</f>
        <v>1023.168</v>
      </c>
      <c r="H196" s="50">
        <f>[1]标准人!D34*0.74</f>
        <v>6216</v>
      </c>
      <c r="I196" s="51">
        <v>0.4</v>
      </c>
      <c r="J196" s="51">
        <v>2</v>
      </c>
      <c r="K196" s="51">
        <v>1</v>
      </c>
      <c r="L196" s="52">
        <f t="shared" ref="L196:L259" si="3">IF(D196="SNIP",((F196*0.4+G196*0.01+H196*1)*10.3),IF(D196="DPS",(F196*0.17+G196*0.05+H196*0.2)*30,(F196*0.1+G196*0.2+H196*1)*10/2.1))</f>
        <v>70952.906304</v>
      </c>
    </row>
    <row r="197" ht="15.6" spans="1:12">
      <c r="A197" s="51">
        <v>3</v>
      </c>
      <c r="B197" s="51" t="s">
        <v>61</v>
      </c>
      <c r="C197" s="50" t="s">
        <v>21</v>
      </c>
      <c r="D197" s="51" t="s">
        <v>58</v>
      </c>
      <c r="E197" s="50">
        <v>34</v>
      </c>
      <c r="F197" s="50">
        <f>[1]标准人!B35*1.2</f>
        <v>1704</v>
      </c>
      <c r="G197" s="50">
        <f>[1]标准人!C35*1.2</f>
        <v>1036.392</v>
      </c>
      <c r="H197" s="50">
        <f>[1]标准人!D35*0.74</f>
        <v>6364</v>
      </c>
      <c r="I197" s="51">
        <v>0.4</v>
      </c>
      <c r="J197" s="51">
        <v>2</v>
      </c>
      <c r="K197" s="51">
        <v>1</v>
      </c>
      <c r="L197" s="52">
        <f t="shared" si="3"/>
        <v>72676.428376</v>
      </c>
    </row>
    <row r="198" ht="15.6" spans="1:12">
      <c r="A198" s="51">
        <v>3</v>
      </c>
      <c r="B198" s="51" t="s">
        <v>61</v>
      </c>
      <c r="C198" s="50" t="s">
        <v>21</v>
      </c>
      <c r="D198" s="51" t="s">
        <v>58</v>
      </c>
      <c r="E198" s="50">
        <v>35</v>
      </c>
      <c r="F198" s="50">
        <f>[1]标准人!B36*1.2</f>
        <v>1752</v>
      </c>
      <c r="G198" s="50">
        <f>[1]标准人!C36*1.2</f>
        <v>1049.616</v>
      </c>
      <c r="H198" s="50">
        <f>[1]标准人!D36*0.74</f>
        <v>6512</v>
      </c>
      <c r="I198" s="51">
        <v>0.4</v>
      </c>
      <c r="J198" s="51">
        <v>2</v>
      </c>
      <c r="K198" s="51">
        <v>1</v>
      </c>
      <c r="L198" s="52">
        <f t="shared" si="3"/>
        <v>74399.950448</v>
      </c>
    </row>
    <row r="199" ht="15.6" spans="1:12">
      <c r="A199" s="51">
        <v>3</v>
      </c>
      <c r="B199" s="51" t="s">
        <v>61</v>
      </c>
      <c r="C199" s="50" t="s">
        <v>21</v>
      </c>
      <c r="D199" s="51" t="s">
        <v>58</v>
      </c>
      <c r="E199" s="50">
        <v>36</v>
      </c>
      <c r="F199" s="50">
        <f>[1]标准人!B37*1.2</f>
        <v>1800</v>
      </c>
      <c r="G199" s="50">
        <f>[1]标准人!C37*1.2</f>
        <v>1062.84</v>
      </c>
      <c r="H199" s="50">
        <f>[1]标准人!D37*0.74</f>
        <v>6660</v>
      </c>
      <c r="I199" s="51">
        <v>0.4</v>
      </c>
      <c r="J199" s="51">
        <v>2</v>
      </c>
      <c r="K199" s="51">
        <v>1</v>
      </c>
      <c r="L199" s="52">
        <f t="shared" si="3"/>
        <v>76123.47252</v>
      </c>
    </row>
    <row r="200" ht="15.6" spans="1:12">
      <c r="A200" s="51">
        <v>3</v>
      </c>
      <c r="B200" s="51" t="s">
        <v>61</v>
      </c>
      <c r="C200" s="50" t="s">
        <v>21</v>
      </c>
      <c r="D200" s="51" t="s">
        <v>58</v>
      </c>
      <c r="E200" s="50">
        <v>37</v>
      </c>
      <c r="F200" s="50">
        <f>[1]标准人!B38*1.2</f>
        <v>1848</v>
      </c>
      <c r="G200" s="50">
        <f>[1]标准人!C38*1.2</f>
        <v>1076.064</v>
      </c>
      <c r="H200" s="50">
        <f>[1]标准人!D38*0.74</f>
        <v>6808</v>
      </c>
      <c r="I200" s="51">
        <v>0.4</v>
      </c>
      <c r="J200" s="51">
        <v>2</v>
      </c>
      <c r="K200" s="51">
        <v>1</v>
      </c>
      <c r="L200" s="52">
        <f t="shared" si="3"/>
        <v>77846.994592</v>
      </c>
    </row>
    <row r="201" ht="15.6" spans="1:12">
      <c r="A201" s="51">
        <v>3</v>
      </c>
      <c r="B201" s="51" t="s">
        <v>61</v>
      </c>
      <c r="C201" s="50" t="s">
        <v>21</v>
      </c>
      <c r="D201" s="51" t="s">
        <v>58</v>
      </c>
      <c r="E201" s="50">
        <v>38</v>
      </c>
      <c r="F201" s="50">
        <f>[1]标准人!B39*1.2</f>
        <v>1896</v>
      </c>
      <c r="G201" s="50">
        <f>[1]标准人!C39*1.2</f>
        <v>1089.288</v>
      </c>
      <c r="H201" s="50">
        <f>[1]标准人!D39*0.74</f>
        <v>6956</v>
      </c>
      <c r="I201" s="51">
        <v>0.4</v>
      </c>
      <c r="J201" s="51">
        <v>2</v>
      </c>
      <c r="K201" s="51">
        <v>1</v>
      </c>
      <c r="L201" s="52">
        <f t="shared" si="3"/>
        <v>79570.516664</v>
      </c>
    </row>
    <row r="202" ht="15.6" spans="1:12">
      <c r="A202" s="51">
        <v>3</v>
      </c>
      <c r="B202" s="51" t="s">
        <v>61</v>
      </c>
      <c r="C202" s="50" t="s">
        <v>21</v>
      </c>
      <c r="D202" s="51" t="s">
        <v>58</v>
      </c>
      <c r="E202" s="50">
        <v>39</v>
      </c>
      <c r="F202" s="50">
        <f>[1]标准人!B40*1.2</f>
        <v>1944</v>
      </c>
      <c r="G202" s="50">
        <f>[1]标准人!C40*1.2</f>
        <v>1102.512</v>
      </c>
      <c r="H202" s="50">
        <f>[1]标准人!D40*0.74</f>
        <v>7104</v>
      </c>
      <c r="I202" s="51">
        <v>0.4</v>
      </c>
      <c r="J202" s="51">
        <v>2</v>
      </c>
      <c r="K202" s="51">
        <v>1</v>
      </c>
      <c r="L202" s="52">
        <f t="shared" si="3"/>
        <v>81294.038736</v>
      </c>
    </row>
    <row r="203" ht="15.6" spans="1:12">
      <c r="A203" s="51">
        <v>3</v>
      </c>
      <c r="B203" s="51" t="s">
        <v>61</v>
      </c>
      <c r="C203" s="50" t="s">
        <v>21</v>
      </c>
      <c r="D203" s="51" t="s">
        <v>58</v>
      </c>
      <c r="E203" s="50">
        <v>40</v>
      </c>
      <c r="F203" s="50">
        <f>[1]标准人!B41*1.2</f>
        <v>1992</v>
      </c>
      <c r="G203" s="50">
        <f>[1]标准人!C41*1.2</f>
        <v>1115.736</v>
      </c>
      <c r="H203" s="50">
        <f>[1]标准人!D41*0.74</f>
        <v>7252</v>
      </c>
      <c r="I203" s="51">
        <v>0.4</v>
      </c>
      <c r="J203" s="51">
        <v>2</v>
      </c>
      <c r="K203" s="51">
        <v>1</v>
      </c>
      <c r="L203" s="52">
        <f t="shared" si="3"/>
        <v>83017.560808</v>
      </c>
    </row>
    <row r="204" ht="15.6" spans="1:12">
      <c r="A204" s="51">
        <v>3</v>
      </c>
      <c r="B204" s="51" t="s">
        <v>61</v>
      </c>
      <c r="C204" s="50" t="s">
        <v>21</v>
      </c>
      <c r="D204" s="51" t="s">
        <v>58</v>
      </c>
      <c r="E204" s="50">
        <v>41</v>
      </c>
      <c r="F204" s="50">
        <f>[1]标准人!B42*1.2</f>
        <v>2040</v>
      </c>
      <c r="G204" s="50">
        <f>[1]标准人!C42*1.2</f>
        <v>1128.96</v>
      </c>
      <c r="H204" s="50">
        <f>[1]标准人!D42*0.74</f>
        <v>7400</v>
      </c>
      <c r="I204" s="51">
        <v>0.4</v>
      </c>
      <c r="J204" s="51">
        <v>2</v>
      </c>
      <c r="K204" s="51">
        <v>1</v>
      </c>
      <c r="L204" s="52">
        <f t="shared" si="3"/>
        <v>84741.08288</v>
      </c>
    </row>
    <row r="205" ht="15.6" spans="1:12">
      <c r="A205" s="51">
        <v>3</v>
      </c>
      <c r="B205" s="51" t="s">
        <v>61</v>
      </c>
      <c r="C205" s="50" t="s">
        <v>21</v>
      </c>
      <c r="D205" s="51" t="s">
        <v>58</v>
      </c>
      <c r="E205" s="50">
        <v>42</v>
      </c>
      <c r="F205" s="50">
        <f>[1]标准人!B43*1.2</f>
        <v>2088</v>
      </c>
      <c r="G205" s="50">
        <f>[1]标准人!C43*1.2</f>
        <v>1142.184</v>
      </c>
      <c r="H205" s="50">
        <f>[1]标准人!D43*0.74</f>
        <v>7548</v>
      </c>
      <c r="I205" s="51">
        <v>0.4</v>
      </c>
      <c r="J205" s="51">
        <v>2</v>
      </c>
      <c r="K205" s="51">
        <v>1</v>
      </c>
      <c r="L205" s="52">
        <f t="shared" si="3"/>
        <v>86464.604952</v>
      </c>
    </row>
    <row r="206" ht="15.6" spans="1:12">
      <c r="A206" s="51">
        <v>3</v>
      </c>
      <c r="B206" s="51" t="s">
        <v>61</v>
      </c>
      <c r="C206" s="50" t="s">
        <v>21</v>
      </c>
      <c r="D206" s="51" t="s">
        <v>58</v>
      </c>
      <c r="E206" s="50">
        <v>43</v>
      </c>
      <c r="F206" s="50">
        <f>[1]标准人!B44*1.2</f>
        <v>2136</v>
      </c>
      <c r="G206" s="50">
        <f>[1]标准人!C44*1.2</f>
        <v>1155.408</v>
      </c>
      <c r="H206" s="50">
        <f>[1]标准人!D44*0.74</f>
        <v>7696</v>
      </c>
      <c r="I206" s="51">
        <v>0.4</v>
      </c>
      <c r="J206" s="51">
        <v>2</v>
      </c>
      <c r="K206" s="51">
        <v>1</v>
      </c>
      <c r="L206" s="52">
        <f t="shared" si="3"/>
        <v>88188.127024</v>
      </c>
    </row>
    <row r="207" ht="15.6" spans="1:12">
      <c r="A207" s="51">
        <v>3</v>
      </c>
      <c r="B207" s="51" t="s">
        <v>61</v>
      </c>
      <c r="C207" s="50" t="s">
        <v>21</v>
      </c>
      <c r="D207" s="51" t="s">
        <v>58</v>
      </c>
      <c r="E207" s="50">
        <v>44</v>
      </c>
      <c r="F207" s="50">
        <f>[1]标准人!B45*1.2</f>
        <v>2184</v>
      </c>
      <c r="G207" s="50">
        <f>[1]标准人!C45*1.2</f>
        <v>1168.632</v>
      </c>
      <c r="H207" s="50">
        <f>[1]标准人!D45*0.74</f>
        <v>7844</v>
      </c>
      <c r="I207" s="51">
        <v>0.4</v>
      </c>
      <c r="J207" s="51">
        <v>2</v>
      </c>
      <c r="K207" s="51">
        <v>1</v>
      </c>
      <c r="L207" s="52">
        <f t="shared" si="3"/>
        <v>89911.649096</v>
      </c>
    </row>
    <row r="208" ht="15.6" spans="1:12">
      <c r="A208" s="51">
        <v>3</v>
      </c>
      <c r="B208" s="51" t="s">
        <v>61</v>
      </c>
      <c r="C208" s="50" t="s">
        <v>21</v>
      </c>
      <c r="D208" s="51" t="s">
        <v>58</v>
      </c>
      <c r="E208" s="50">
        <v>45</v>
      </c>
      <c r="F208" s="50">
        <f>[1]标准人!B46*1.2</f>
        <v>2232</v>
      </c>
      <c r="G208" s="50">
        <f>[1]标准人!C46*1.2</f>
        <v>1181.856</v>
      </c>
      <c r="H208" s="50">
        <f>[1]标准人!D46*0.74</f>
        <v>7992</v>
      </c>
      <c r="I208" s="51">
        <v>0.4</v>
      </c>
      <c r="J208" s="51">
        <v>2</v>
      </c>
      <c r="K208" s="51">
        <v>1</v>
      </c>
      <c r="L208" s="52">
        <f t="shared" si="3"/>
        <v>91635.171168</v>
      </c>
    </row>
    <row r="209" ht="15.6" spans="1:12">
      <c r="A209" s="51">
        <v>3</v>
      </c>
      <c r="B209" s="51" t="s">
        <v>61</v>
      </c>
      <c r="C209" s="50" t="s">
        <v>21</v>
      </c>
      <c r="D209" s="51" t="s">
        <v>58</v>
      </c>
      <c r="E209" s="50">
        <v>46</v>
      </c>
      <c r="F209" s="50">
        <f>[1]标准人!B47*1.2</f>
        <v>2280</v>
      </c>
      <c r="G209" s="50">
        <f>[1]标准人!C47*1.2</f>
        <v>1195.08</v>
      </c>
      <c r="H209" s="50">
        <f>[1]标准人!D47*0.74</f>
        <v>8140</v>
      </c>
      <c r="I209" s="51">
        <v>0.4</v>
      </c>
      <c r="J209" s="51">
        <v>2</v>
      </c>
      <c r="K209" s="51">
        <v>1</v>
      </c>
      <c r="L209" s="52">
        <f t="shared" si="3"/>
        <v>93358.69324</v>
      </c>
    </row>
    <row r="210" ht="15.6" spans="1:12">
      <c r="A210" s="51">
        <v>3</v>
      </c>
      <c r="B210" s="51" t="s">
        <v>61</v>
      </c>
      <c r="C210" s="50" t="s">
        <v>21</v>
      </c>
      <c r="D210" s="51" t="s">
        <v>58</v>
      </c>
      <c r="E210" s="50">
        <v>47</v>
      </c>
      <c r="F210" s="50">
        <f>[1]标准人!B48*1.2</f>
        <v>2328</v>
      </c>
      <c r="G210" s="50">
        <f>[1]标准人!C48*1.2</f>
        <v>1208.304</v>
      </c>
      <c r="H210" s="50">
        <f>[1]标准人!D48*0.74</f>
        <v>8288</v>
      </c>
      <c r="I210" s="51">
        <v>0.4</v>
      </c>
      <c r="J210" s="51">
        <v>2</v>
      </c>
      <c r="K210" s="51">
        <v>1</v>
      </c>
      <c r="L210" s="52">
        <f t="shared" si="3"/>
        <v>95082.215312</v>
      </c>
    </row>
    <row r="211" ht="15.6" spans="1:12">
      <c r="A211" s="51">
        <v>3</v>
      </c>
      <c r="B211" s="51" t="s">
        <v>61</v>
      </c>
      <c r="C211" s="50" t="s">
        <v>21</v>
      </c>
      <c r="D211" s="51" t="s">
        <v>58</v>
      </c>
      <c r="E211" s="50">
        <v>48</v>
      </c>
      <c r="F211" s="50">
        <f>[1]标准人!B49*1.2</f>
        <v>2376</v>
      </c>
      <c r="G211" s="50">
        <f>[1]标准人!C49*1.2</f>
        <v>1221.528</v>
      </c>
      <c r="H211" s="50">
        <f>[1]标准人!D49*0.74</f>
        <v>8436</v>
      </c>
      <c r="I211" s="51">
        <v>0.4</v>
      </c>
      <c r="J211" s="51">
        <v>2</v>
      </c>
      <c r="K211" s="51">
        <v>1</v>
      </c>
      <c r="L211" s="52">
        <f t="shared" si="3"/>
        <v>96805.737384</v>
      </c>
    </row>
    <row r="212" ht="15.6" spans="1:12">
      <c r="A212" s="51">
        <v>3</v>
      </c>
      <c r="B212" s="51" t="s">
        <v>61</v>
      </c>
      <c r="C212" s="50" t="s">
        <v>21</v>
      </c>
      <c r="D212" s="51" t="s">
        <v>58</v>
      </c>
      <c r="E212" s="50">
        <v>49</v>
      </c>
      <c r="F212" s="50">
        <f>[1]标准人!B50*1.2</f>
        <v>2424</v>
      </c>
      <c r="G212" s="50">
        <f>[1]标准人!C50*1.2</f>
        <v>1234.752</v>
      </c>
      <c r="H212" s="50">
        <f>[1]标准人!D50*0.74</f>
        <v>8584</v>
      </c>
      <c r="I212" s="51">
        <v>0.4</v>
      </c>
      <c r="J212" s="51">
        <v>2</v>
      </c>
      <c r="K212" s="51">
        <v>1</v>
      </c>
      <c r="L212" s="52">
        <f t="shared" si="3"/>
        <v>98529.259456</v>
      </c>
    </row>
    <row r="213" ht="15.6" spans="1:12">
      <c r="A213" s="51">
        <v>3</v>
      </c>
      <c r="B213" s="51" t="s">
        <v>61</v>
      </c>
      <c r="C213" s="50" t="s">
        <v>21</v>
      </c>
      <c r="D213" s="51" t="s">
        <v>58</v>
      </c>
      <c r="E213" s="50">
        <v>50</v>
      </c>
      <c r="F213" s="50">
        <f>[1]标准人!B51*1.2</f>
        <v>2472</v>
      </c>
      <c r="G213" s="50">
        <f>[1]标准人!C51*1.2</f>
        <v>1247.976</v>
      </c>
      <c r="H213" s="50">
        <f>[1]标准人!D51*0.74</f>
        <v>8732</v>
      </c>
      <c r="I213" s="51">
        <v>0.4</v>
      </c>
      <c r="J213" s="51">
        <v>2</v>
      </c>
      <c r="K213" s="51">
        <v>1</v>
      </c>
      <c r="L213" s="52">
        <f t="shared" si="3"/>
        <v>100252.781528</v>
      </c>
    </row>
    <row r="214" ht="15.6" spans="1:12">
      <c r="A214" s="51">
        <v>3</v>
      </c>
      <c r="B214" s="51" t="s">
        <v>61</v>
      </c>
      <c r="C214" s="50" t="s">
        <v>21</v>
      </c>
      <c r="D214" s="51" t="s">
        <v>58</v>
      </c>
      <c r="E214" s="50">
        <v>51</v>
      </c>
      <c r="F214" s="50">
        <f>[1]标准人!B52*1.2</f>
        <v>2520</v>
      </c>
      <c r="G214" s="50">
        <f>[1]标准人!C52*1.2</f>
        <v>1261.2</v>
      </c>
      <c r="H214" s="50">
        <f>[1]标准人!D52*0.74</f>
        <v>8880</v>
      </c>
      <c r="I214" s="51">
        <v>0.4</v>
      </c>
      <c r="J214" s="51">
        <v>2</v>
      </c>
      <c r="K214" s="51">
        <v>1</v>
      </c>
      <c r="L214" s="52">
        <f t="shared" si="3"/>
        <v>101976.3036</v>
      </c>
    </row>
    <row r="215" ht="15.6" spans="1:12">
      <c r="A215" s="51">
        <v>3</v>
      </c>
      <c r="B215" s="51" t="s">
        <v>61</v>
      </c>
      <c r="C215" s="50" t="s">
        <v>21</v>
      </c>
      <c r="D215" s="51" t="s">
        <v>58</v>
      </c>
      <c r="E215" s="50">
        <v>52</v>
      </c>
      <c r="F215" s="50">
        <f>[1]标准人!B53*1.2</f>
        <v>2568</v>
      </c>
      <c r="G215" s="50">
        <f>[1]标准人!C53*1.2</f>
        <v>1274.424</v>
      </c>
      <c r="H215" s="50">
        <f>[1]标准人!D53*0.74</f>
        <v>9028</v>
      </c>
      <c r="I215" s="51">
        <v>0.4</v>
      </c>
      <c r="J215" s="51">
        <v>2</v>
      </c>
      <c r="K215" s="51">
        <v>1</v>
      </c>
      <c r="L215" s="52">
        <f t="shared" si="3"/>
        <v>103699.825672</v>
      </c>
    </row>
    <row r="216" ht="15.6" spans="1:12">
      <c r="A216" s="51">
        <v>3</v>
      </c>
      <c r="B216" s="51" t="s">
        <v>61</v>
      </c>
      <c r="C216" s="50" t="s">
        <v>21</v>
      </c>
      <c r="D216" s="51" t="s">
        <v>58</v>
      </c>
      <c r="E216" s="50">
        <v>53</v>
      </c>
      <c r="F216" s="50">
        <f>[1]标准人!B54*1.2</f>
        <v>2616</v>
      </c>
      <c r="G216" s="50">
        <f>[1]标准人!C54*1.2</f>
        <v>1287.648</v>
      </c>
      <c r="H216" s="50">
        <f>[1]标准人!D54*0.74</f>
        <v>9176</v>
      </c>
      <c r="I216" s="51">
        <v>0.4</v>
      </c>
      <c r="J216" s="51">
        <v>2</v>
      </c>
      <c r="K216" s="51">
        <v>1</v>
      </c>
      <c r="L216" s="52">
        <f t="shared" si="3"/>
        <v>105423.347744</v>
      </c>
    </row>
    <row r="217" ht="15.6" spans="1:12">
      <c r="A217" s="51">
        <v>3</v>
      </c>
      <c r="B217" s="51" t="s">
        <v>61</v>
      </c>
      <c r="C217" s="50" t="s">
        <v>21</v>
      </c>
      <c r="D217" s="51" t="s">
        <v>58</v>
      </c>
      <c r="E217" s="50">
        <v>54</v>
      </c>
      <c r="F217" s="50">
        <f>[1]标准人!B55*1.2</f>
        <v>2664</v>
      </c>
      <c r="G217" s="50">
        <f>[1]标准人!C55*1.2</f>
        <v>1300.872</v>
      </c>
      <c r="H217" s="50">
        <f>[1]标准人!D55*0.74</f>
        <v>9324</v>
      </c>
      <c r="I217" s="51">
        <v>0.4</v>
      </c>
      <c r="J217" s="51">
        <v>2</v>
      </c>
      <c r="K217" s="51">
        <v>1</v>
      </c>
      <c r="L217" s="52">
        <f t="shared" si="3"/>
        <v>107146.869816</v>
      </c>
    </row>
    <row r="218" ht="15.6" spans="1:12">
      <c r="A218" s="51">
        <v>3</v>
      </c>
      <c r="B218" s="51" t="s">
        <v>61</v>
      </c>
      <c r="C218" s="50" t="s">
        <v>21</v>
      </c>
      <c r="D218" s="51" t="s">
        <v>58</v>
      </c>
      <c r="E218" s="50">
        <v>55</v>
      </c>
      <c r="F218" s="50">
        <f>[1]标准人!B56*1.2</f>
        <v>2712</v>
      </c>
      <c r="G218" s="50">
        <f>[1]标准人!C56*1.2</f>
        <v>1314.096</v>
      </c>
      <c r="H218" s="50">
        <f>[1]标准人!D56*0.74</f>
        <v>9472</v>
      </c>
      <c r="I218" s="51">
        <v>0.4</v>
      </c>
      <c r="J218" s="51">
        <v>2</v>
      </c>
      <c r="K218" s="51">
        <v>1</v>
      </c>
      <c r="L218" s="52">
        <f t="shared" si="3"/>
        <v>108870.391888</v>
      </c>
    </row>
    <row r="219" ht="15.6" spans="1:12">
      <c r="A219" s="51">
        <v>3</v>
      </c>
      <c r="B219" s="51" t="s">
        <v>61</v>
      </c>
      <c r="C219" s="50" t="s">
        <v>21</v>
      </c>
      <c r="D219" s="51" t="s">
        <v>58</v>
      </c>
      <c r="E219" s="50">
        <v>56</v>
      </c>
      <c r="F219" s="50">
        <f>[1]标准人!B57*1.2</f>
        <v>2760</v>
      </c>
      <c r="G219" s="50">
        <f>[1]标准人!C57*1.2</f>
        <v>1327.32</v>
      </c>
      <c r="H219" s="50">
        <f>[1]标准人!D57*0.74</f>
        <v>9620</v>
      </c>
      <c r="I219" s="51">
        <v>0.4</v>
      </c>
      <c r="J219" s="51">
        <v>2</v>
      </c>
      <c r="K219" s="51">
        <v>1</v>
      </c>
      <c r="L219" s="52">
        <f t="shared" si="3"/>
        <v>110593.91396</v>
      </c>
    </row>
    <row r="220" ht="15.6" spans="1:12">
      <c r="A220" s="51">
        <v>3</v>
      </c>
      <c r="B220" s="51" t="s">
        <v>61</v>
      </c>
      <c r="C220" s="50" t="s">
        <v>21</v>
      </c>
      <c r="D220" s="51" t="s">
        <v>58</v>
      </c>
      <c r="E220" s="50">
        <v>57</v>
      </c>
      <c r="F220" s="50">
        <f>[1]标准人!B58*1.2</f>
        <v>2808</v>
      </c>
      <c r="G220" s="50">
        <f>[1]标准人!C58*1.2</f>
        <v>1340.544</v>
      </c>
      <c r="H220" s="50">
        <f>[1]标准人!D58*0.74</f>
        <v>9768</v>
      </c>
      <c r="I220" s="51">
        <v>0.4</v>
      </c>
      <c r="J220" s="51">
        <v>2</v>
      </c>
      <c r="K220" s="51">
        <v>1</v>
      </c>
      <c r="L220" s="52">
        <f t="shared" si="3"/>
        <v>112317.436032</v>
      </c>
    </row>
    <row r="221" ht="15.6" spans="1:12">
      <c r="A221" s="51">
        <v>3</v>
      </c>
      <c r="B221" s="51" t="s">
        <v>61</v>
      </c>
      <c r="C221" s="50" t="s">
        <v>21</v>
      </c>
      <c r="D221" s="51" t="s">
        <v>58</v>
      </c>
      <c r="E221" s="50">
        <v>58</v>
      </c>
      <c r="F221" s="50">
        <f>[1]标准人!B59*1.2</f>
        <v>2856</v>
      </c>
      <c r="G221" s="50">
        <f>[1]标准人!C59*1.2</f>
        <v>1353.768</v>
      </c>
      <c r="H221" s="50">
        <f>[1]标准人!D59*0.74</f>
        <v>9916</v>
      </c>
      <c r="I221" s="51">
        <v>0.4</v>
      </c>
      <c r="J221" s="51">
        <v>2</v>
      </c>
      <c r="K221" s="51">
        <v>1</v>
      </c>
      <c r="L221" s="52">
        <f t="shared" si="3"/>
        <v>114040.958104</v>
      </c>
    </row>
    <row r="222" ht="15.6" spans="1:12">
      <c r="A222" s="51">
        <v>3</v>
      </c>
      <c r="B222" s="51" t="s">
        <v>61</v>
      </c>
      <c r="C222" s="50" t="s">
        <v>21</v>
      </c>
      <c r="D222" s="51" t="s">
        <v>58</v>
      </c>
      <c r="E222" s="50">
        <v>59</v>
      </c>
      <c r="F222" s="50">
        <f>[1]标准人!B60*1.2</f>
        <v>2904</v>
      </c>
      <c r="G222" s="50">
        <f>[1]标准人!C60*1.2</f>
        <v>1366.992</v>
      </c>
      <c r="H222" s="50">
        <f>[1]标准人!D60*0.74</f>
        <v>10064</v>
      </c>
      <c r="I222" s="51">
        <v>0.4</v>
      </c>
      <c r="J222" s="51">
        <v>2</v>
      </c>
      <c r="K222" s="51">
        <v>1</v>
      </c>
      <c r="L222" s="52">
        <f t="shared" si="3"/>
        <v>115764.480176</v>
      </c>
    </row>
    <row r="223" ht="15.6" spans="1:12">
      <c r="A223" s="51">
        <v>3</v>
      </c>
      <c r="B223" s="51" t="s">
        <v>61</v>
      </c>
      <c r="C223" s="50" t="s">
        <v>21</v>
      </c>
      <c r="D223" s="51" t="s">
        <v>58</v>
      </c>
      <c r="E223" s="50">
        <v>60</v>
      </c>
      <c r="F223" s="50">
        <f>[1]标准人!B61*1.2</f>
        <v>2952</v>
      </c>
      <c r="G223" s="50">
        <f>[1]标准人!C61*1.2</f>
        <v>1380.216</v>
      </c>
      <c r="H223" s="50">
        <f>[1]标准人!D61*0.74</f>
        <v>10212</v>
      </c>
      <c r="I223" s="51">
        <v>0.4</v>
      </c>
      <c r="J223" s="51">
        <v>2</v>
      </c>
      <c r="K223" s="51">
        <v>1</v>
      </c>
      <c r="L223" s="52">
        <f t="shared" si="3"/>
        <v>117488.002248</v>
      </c>
    </row>
    <row r="224" ht="15.6" spans="1:12">
      <c r="A224" s="51">
        <v>3</v>
      </c>
      <c r="B224" s="51" t="s">
        <v>61</v>
      </c>
      <c r="C224" s="50" t="s">
        <v>21</v>
      </c>
      <c r="D224" s="51" t="s">
        <v>58</v>
      </c>
      <c r="E224" s="50">
        <v>61</v>
      </c>
      <c r="F224" s="50">
        <f>[1]标准人!B62*1.2</f>
        <v>3000</v>
      </c>
      <c r="G224" s="50">
        <f>[1]标准人!C62*1.2</f>
        <v>1393.44</v>
      </c>
      <c r="H224" s="50">
        <f>[1]标准人!D62*0.74</f>
        <v>10360</v>
      </c>
      <c r="I224" s="51">
        <v>0.4</v>
      </c>
      <c r="J224" s="51">
        <v>2</v>
      </c>
      <c r="K224" s="51">
        <v>1</v>
      </c>
      <c r="L224" s="52">
        <f t="shared" si="3"/>
        <v>119211.52432</v>
      </c>
    </row>
    <row r="225" ht="15.6" spans="1:12">
      <c r="A225" s="51">
        <v>3</v>
      </c>
      <c r="B225" s="51" t="s">
        <v>61</v>
      </c>
      <c r="C225" s="50" t="s">
        <v>21</v>
      </c>
      <c r="D225" s="51" t="s">
        <v>58</v>
      </c>
      <c r="E225" s="50">
        <v>62</v>
      </c>
      <c r="F225" s="50">
        <f>[1]标准人!B63*1.2</f>
        <v>3048</v>
      </c>
      <c r="G225" s="50">
        <f>[1]标准人!C63*1.2</f>
        <v>1406.664</v>
      </c>
      <c r="H225" s="50">
        <f>[1]标准人!D63*0.74</f>
        <v>10508</v>
      </c>
      <c r="I225" s="51">
        <v>0.4</v>
      </c>
      <c r="J225" s="51">
        <v>2</v>
      </c>
      <c r="K225" s="51">
        <v>1</v>
      </c>
      <c r="L225" s="52">
        <f t="shared" si="3"/>
        <v>120935.046392</v>
      </c>
    </row>
    <row r="226" ht="15.6" spans="1:12">
      <c r="A226" s="51">
        <v>3</v>
      </c>
      <c r="B226" s="51" t="s">
        <v>61</v>
      </c>
      <c r="C226" s="50" t="s">
        <v>21</v>
      </c>
      <c r="D226" s="51" t="s">
        <v>58</v>
      </c>
      <c r="E226" s="50">
        <v>63</v>
      </c>
      <c r="F226" s="50">
        <f>[1]标准人!B64*1.2</f>
        <v>3096</v>
      </c>
      <c r="G226" s="50">
        <f>[1]标准人!C64*1.2</f>
        <v>1419.888</v>
      </c>
      <c r="H226" s="50">
        <f>[1]标准人!D64*0.74</f>
        <v>10656</v>
      </c>
      <c r="I226" s="51">
        <v>0.4</v>
      </c>
      <c r="J226" s="51">
        <v>2</v>
      </c>
      <c r="K226" s="51">
        <v>1</v>
      </c>
      <c r="L226" s="52">
        <f t="shared" si="3"/>
        <v>122658.568464</v>
      </c>
    </row>
    <row r="227" ht="15.6" spans="1:12">
      <c r="A227" s="51">
        <v>3</v>
      </c>
      <c r="B227" s="51" t="s">
        <v>61</v>
      </c>
      <c r="C227" s="50" t="s">
        <v>21</v>
      </c>
      <c r="D227" s="51" t="s">
        <v>58</v>
      </c>
      <c r="E227" s="50">
        <v>64</v>
      </c>
      <c r="F227" s="50">
        <f>[1]标准人!B65*1.2</f>
        <v>3144</v>
      </c>
      <c r="G227" s="50">
        <f>[1]标准人!C65*1.2</f>
        <v>1433.112</v>
      </c>
      <c r="H227" s="50">
        <f>[1]标准人!D65*0.74</f>
        <v>10804</v>
      </c>
      <c r="I227" s="51">
        <v>0.4</v>
      </c>
      <c r="J227" s="51">
        <v>2</v>
      </c>
      <c r="K227" s="51">
        <v>1</v>
      </c>
      <c r="L227" s="52">
        <f t="shared" si="3"/>
        <v>124382.090536</v>
      </c>
    </row>
    <row r="228" ht="15.6" spans="1:12">
      <c r="A228" s="51">
        <v>3</v>
      </c>
      <c r="B228" s="51" t="s">
        <v>61</v>
      </c>
      <c r="C228" s="50" t="s">
        <v>21</v>
      </c>
      <c r="D228" s="51" t="s">
        <v>58</v>
      </c>
      <c r="E228" s="50">
        <v>65</v>
      </c>
      <c r="F228" s="50">
        <f>[1]标准人!B66*1.2</f>
        <v>3192</v>
      </c>
      <c r="G228" s="50">
        <f>[1]标准人!C66*1.2</f>
        <v>1446.336</v>
      </c>
      <c r="H228" s="50">
        <f>[1]标准人!D66*0.74</f>
        <v>10952</v>
      </c>
      <c r="I228" s="51">
        <v>0.4</v>
      </c>
      <c r="J228" s="51">
        <v>2</v>
      </c>
      <c r="K228" s="51">
        <v>1</v>
      </c>
      <c r="L228" s="52">
        <f t="shared" si="3"/>
        <v>126105.612608</v>
      </c>
    </row>
    <row r="229" ht="15.6" spans="1:12">
      <c r="A229" s="51">
        <v>3</v>
      </c>
      <c r="B229" s="51" t="s">
        <v>61</v>
      </c>
      <c r="C229" s="50" t="s">
        <v>21</v>
      </c>
      <c r="D229" s="51" t="s">
        <v>58</v>
      </c>
      <c r="E229" s="50">
        <v>66</v>
      </c>
      <c r="F229" s="50">
        <f>[1]标准人!B67*1.2</f>
        <v>3240</v>
      </c>
      <c r="G229" s="50">
        <f>[1]标准人!C67*1.2</f>
        <v>1459.56</v>
      </c>
      <c r="H229" s="50">
        <f>[1]标准人!D67*0.74</f>
        <v>11100</v>
      </c>
      <c r="I229" s="51">
        <v>0.4</v>
      </c>
      <c r="J229" s="51">
        <v>2</v>
      </c>
      <c r="K229" s="51">
        <v>1</v>
      </c>
      <c r="L229" s="52">
        <f t="shared" si="3"/>
        <v>127829.13468</v>
      </c>
    </row>
    <row r="230" ht="15.6" spans="1:12">
      <c r="A230" s="51">
        <v>3</v>
      </c>
      <c r="B230" s="51" t="s">
        <v>61</v>
      </c>
      <c r="C230" s="50" t="s">
        <v>21</v>
      </c>
      <c r="D230" s="51" t="s">
        <v>58</v>
      </c>
      <c r="E230" s="50">
        <v>67</v>
      </c>
      <c r="F230" s="50">
        <f>[1]标准人!B68*1.2</f>
        <v>3288</v>
      </c>
      <c r="G230" s="50">
        <f>[1]标准人!C68*1.2</f>
        <v>1472.784</v>
      </c>
      <c r="H230" s="50">
        <f>[1]标准人!D68*0.74</f>
        <v>11248</v>
      </c>
      <c r="I230" s="51">
        <v>0.4</v>
      </c>
      <c r="J230" s="51">
        <v>2</v>
      </c>
      <c r="K230" s="51">
        <v>1</v>
      </c>
      <c r="L230" s="52">
        <f t="shared" si="3"/>
        <v>129552.656752</v>
      </c>
    </row>
    <row r="231" ht="15.6" spans="1:12">
      <c r="A231" s="51">
        <v>3</v>
      </c>
      <c r="B231" s="51" t="s">
        <v>61</v>
      </c>
      <c r="C231" s="50" t="s">
        <v>21</v>
      </c>
      <c r="D231" s="51" t="s">
        <v>58</v>
      </c>
      <c r="E231" s="50">
        <v>68</v>
      </c>
      <c r="F231" s="50">
        <f>[1]标准人!B69*1.2</f>
        <v>3336</v>
      </c>
      <c r="G231" s="50">
        <f>[1]标准人!C69*1.2</f>
        <v>1486.008</v>
      </c>
      <c r="H231" s="50">
        <f>[1]标准人!D69*0.74</f>
        <v>11396</v>
      </c>
      <c r="I231" s="51">
        <v>0.4</v>
      </c>
      <c r="J231" s="51">
        <v>2</v>
      </c>
      <c r="K231" s="51">
        <v>1</v>
      </c>
      <c r="L231" s="52">
        <f t="shared" si="3"/>
        <v>131276.178824</v>
      </c>
    </row>
    <row r="232" ht="15.6" spans="1:12">
      <c r="A232" s="51">
        <v>3</v>
      </c>
      <c r="B232" s="51" t="s">
        <v>61</v>
      </c>
      <c r="C232" s="50" t="s">
        <v>21</v>
      </c>
      <c r="D232" s="51" t="s">
        <v>58</v>
      </c>
      <c r="E232" s="50">
        <v>69</v>
      </c>
      <c r="F232" s="50">
        <f>[1]标准人!B70*1.2</f>
        <v>3384</v>
      </c>
      <c r="G232" s="50">
        <f>[1]标准人!C70*1.2</f>
        <v>1499.232</v>
      </c>
      <c r="H232" s="50">
        <f>[1]标准人!D70*0.74</f>
        <v>11544</v>
      </c>
      <c r="I232" s="51">
        <v>0.4</v>
      </c>
      <c r="J232" s="51">
        <v>2</v>
      </c>
      <c r="K232" s="51">
        <v>1</v>
      </c>
      <c r="L232" s="52">
        <f t="shared" si="3"/>
        <v>132999.700896</v>
      </c>
    </row>
    <row r="233" ht="15.6" spans="1:12">
      <c r="A233" s="51">
        <v>3</v>
      </c>
      <c r="B233" s="51" t="s">
        <v>61</v>
      </c>
      <c r="C233" s="50" t="s">
        <v>21</v>
      </c>
      <c r="D233" s="51" t="s">
        <v>58</v>
      </c>
      <c r="E233" s="50">
        <v>70</v>
      </c>
      <c r="F233" s="50">
        <f>[1]标准人!B71*1.2</f>
        <v>3432</v>
      </c>
      <c r="G233" s="50">
        <f>[1]标准人!C71*1.2</f>
        <v>1512.456</v>
      </c>
      <c r="H233" s="50">
        <f>[1]标准人!D71*0.74</f>
        <v>11692</v>
      </c>
      <c r="I233" s="51">
        <v>0.4</v>
      </c>
      <c r="J233" s="51">
        <v>2</v>
      </c>
      <c r="K233" s="51">
        <v>1</v>
      </c>
      <c r="L233" s="52">
        <f t="shared" si="3"/>
        <v>134723.222968</v>
      </c>
    </row>
    <row r="234" ht="15.6" spans="1:12">
      <c r="A234" s="51">
        <v>3</v>
      </c>
      <c r="B234" s="51" t="s">
        <v>61</v>
      </c>
      <c r="C234" s="50" t="s">
        <v>21</v>
      </c>
      <c r="D234" s="51" t="s">
        <v>58</v>
      </c>
      <c r="E234" s="50">
        <v>71</v>
      </c>
      <c r="F234" s="50">
        <f>[1]标准人!B72*1.2</f>
        <v>3480</v>
      </c>
      <c r="G234" s="50">
        <f>[1]标准人!C72*1.2</f>
        <v>1525.68</v>
      </c>
      <c r="H234" s="50">
        <f>[1]标准人!D72*0.74</f>
        <v>11840</v>
      </c>
      <c r="I234" s="51">
        <v>0.4</v>
      </c>
      <c r="J234" s="51">
        <v>2</v>
      </c>
      <c r="K234" s="51">
        <v>1</v>
      </c>
      <c r="L234" s="52">
        <f t="shared" si="3"/>
        <v>136446.74504</v>
      </c>
    </row>
    <row r="235" ht="15.6" spans="1:12">
      <c r="A235" s="51">
        <v>3</v>
      </c>
      <c r="B235" s="51" t="s">
        <v>61</v>
      </c>
      <c r="C235" s="50" t="s">
        <v>21</v>
      </c>
      <c r="D235" s="51" t="s">
        <v>58</v>
      </c>
      <c r="E235" s="50">
        <v>72</v>
      </c>
      <c r="F235" s="50">
        <f>[1]标准人!B73*1.2</f>
        <v>3528</v>
      </c>
      <c r="G235" s="50">
        <f>[1]标准人!C73*1.2</f>
        <v>1538.904</v>
      </c>
      <c r="H235" s="50">
        <f>[1]标准人!D73*0.74</f>
        <v>11988</v>
      </c>
      <c r="I235" s="51">
        <v>0.4</v>
      </c>
      <c r="J235" s="51">
        <v>2</v>
      </c>
      <c r="K235" s="51">
        <v>1</v>
      </c>
      <c r="L235" s="52">
        <f t="shared" si="3"/>
        <v>138170.267112</v>
      </c>
    </row>
    <row r="236" ht="15.6" spans="1:12">
      <c r="A236" s="51">
        <v>3</v>
      </c>
      <c r="B236" s="51" t="s">
        <v>61</v>
      </c>
      <c r="C236" s="50" t="s">
        <v>21</v>
      </c>
      <c r="D236" s="51" t="s">
        <v>58</v>
      </c>
      <c r="E236" s="50">
        <v>73</v>
      </c>
      <c r="F236" s="50">
        <f>[1]标准人!B74*1.2</f>
        <v>3576</v>
      </c>
      <c r="G236" s="50">
        <f>[1]标准人!C74*1.2</f>
        <v>1552.128</v>
      </c>
      <c r="H236" s="50">
        <f>[1]标准人!D74*0.74</f>
        <v>12136</v>
      </c>
      <c r="I236" s="51">
        <v>0.4</v>
      </c>
      <c r="J236" s="51">
        <v>2</v>
      </c>
      <c r="K236" s="51">
        <v>1</v>
      </c>
      <c r="L236" s="52">
        <f t="shared" si="3"/>
        <v>139893.789184</v>
      </c>
    </row>
    <row r="237" ht="15.6" spans="1:12">
      <c r="A237" s="51">
        <v>3</v>
      </c>
      <c r="B237" s="51" t="s">
        <v>61</v>
      </c>
      <c r="C237" s="50" t="s">
        <v>21</v>
      </c>
      <c r="D237" s="51" t="s">
        <v>58</v>
      </c>
      <c r="E237" s="50">
        <v>74</v>
      </c>
      <c r="F237" s="50">
        <f>[1]标准人!B75*1.2</f>
        <v>3624</v>
      </c>
      <c r="G237" s="50">
        <f>[1]标准人!C75*1.2</f>
        <v>1565.352</v>
      </c>
      <c r="H237" s="50">
        <f>[1]标准人!D75*0.74</f>
        <v>12284</v>
      </c>
      <c r="I237" s="51">
        <v>0.4</v>
      </c>
      <c r="J237" s="51">
        <v>2</v>
      </c>
      <c r="K237" s="51">
        <v>1</v>
      </c>
      <c r="L237" s="52">
        <f t="shared" si="3"/>
        <v>141617.311256</v>
      </c>
    </row>
    <row r="238" ht="15.6" spans="1:12">
      <c r="A238" s="51">
        <v>3</v>
      </c>
      <c r="B238" s="51" t="s">
        <v>61</v>
      </c>
      <c r="C238" s="50" t="s">
        <v>21</v>
      </c>
      <c r="D238" s="51" t="s">
        <v>58</v>
      </c>
      <c r="E238" s="50">
        <v>75</v>
      </c>
      <c r="F238" s="50">
        <f>[1]标准人!B76*1.2</f>
        <v>3672</v>
      </c>
      <c r="G238" s="50">
        <f>[1]标准人!C76*1.2</f>
        <v>1578.576</v>
      </c>
      <c r="H238" s="50">
        <f>[1]标准人!D76*0.74</f>
        <v>12432</v>
      </c>
      <c r="I238" s="51">
        <v>0.4</v>
      </c>
      <c r="J238" s="51">
        <v>2</v>
      </c>
      <c r="K238" s="51">
        <v>1</v>
      </c>
      <c r="L238" s="52">
        <f t="shared" si="3"/>
        <v>143340.833328</v>
      </c>
    </row>
    <row r="239" ht="15.6" spans="1:12">
      <c r="A239" s="51">
        <v>3</v>
      </c>
      <c r="B239" s="51" t="s">
        <v>61</v>
      </c>
      <c r="C239" s="50" t="s">
        <v>21</v>
      </c>
      <c r="D239" s="51" t="s">
        <v>58</v>
      </c>
      <c r="E239" s="50">
        <v>76</v>
      </c>
      <c r="F239" s="50">
        <f>[1]标准人!B77*1.2</f>
        <v>3720</v>
      </c>
      <c r="G239" s="50">
        <f>[1]标准人!C77*1.2</f>
        <v>1591.8</v>
      </c>
      <c r="H239" s="50">
        <f>[1]标准人!D77*0.74</f>
        <v>12580</v>
      </c>
      <c r="I239" s="51">
        <v>0.4</v>
      </c>
      <c r="J239" s="51">
        <v>2</v>
      </c>
      <c r="K239" s="51">
        <v>1</v>
      </c>
      <c r="L239" s="52">
        <f t="shared" si="3"/>
        <v>145064.3554</v>
      </c>
    </row>
    <row r="240" ht="15.6" spans="1:12">
      <c r="A240" s="51">
        <v>3</v>
      </c>
      <c r="B240" s="51" t="s">
        <v>61</v>
      </c>
      <c r="C240" s="50" t="s">
        <v>21</v>
      </c>
      <c r="D240" s="51" t="s">
        <v>58</v>
      </c>
      <c r="E240" s="50">
        <v>77</v>
      </c>
      <c r="F240" s="50">
        <f>[1]标准人!B78*1.2</f>
        <v>3768</v>
      </c>
      <c r="G240" s="50">
        <f>[1]标准人!C78*1.2</f>
        <v>1605.024</v>
      </c>
      <c r="H240" s="50">
        <f>[1]标准人!D78*0.74</f>
        <v>12728</v>
      </c>
      <c r="I240" s="51">
        <v>0.4</v>
      </c>
      <c r="J240" s="51">
        <v>2</v>
      </c>
      <c r="K240" s="51">
        <v>1</v>
      </c>
      <c r="L240" s="52">
        <f t="shared" si="3"/>
        <v>146787.877472</v>
      </c>
    </row>
    <row r="241" ht="15.6" spans="1:12">
      <c r="A241" s="51">
        <v>3</v>
      </c>
      <c r="B241" s="51" t="s">
        <v>61</v>
      </c>
      <c r="C241" s="50" t="s">
        <v>21</v>
      </c>
      <c r="D241" s="51" t="s">
        <v>58</v>
      </c>
      <c r="E241" s="50">
        <v>78</v>
      </c>
      <c r="F241" s="50">
        <f>[1]标准人!B79*1.2</f>
        <v>3816</v>
      </c>
      <c r="G241" s="50">
        <f>[1]标准人!C79*1.2</f>
        <v>1618.248</v>
      </c>
      <c r="H241" s="50">
        <f>[1]标准人!D79*0.74</f>
        <v>12876</v>
      </c>
      <c r="I241" s="51">
        <v>0.4</v>
      </c>
      <c r="J241" s="51">
        <v>2</v>
      </c>
      <c r="K241" s="51">
        <v>1</v>
      </c>
      <c r="L241" s="52">
        <f t="shared" si="3"/>
        <v>148511.399544</v>
      </c>
    </row>
    <row r="242" ht="15.6" spans="1:12">
      <c r="A242" s="51">
        <v>3</v>
      </c>
      <c r="B242" s="51" t="s">
        <v>61</v>
      </c>
      <c r="C242" s="50" t="s">
        <v>21</v>
      </c>
      <c r="D242" s="51" t="s">
        <v>58</v>
      </c>
      <c r="E242" s="50">
        <v>79</v>
      </c>
      <c r="F242" s="50">
        <f>[1]标准人!B80*1.2</f>
        <v>3864</v>
      </c>
      <c r="G242" s="50">
        <f>[1]标准人!C80*1.2</f>
        <v>1631.472</v>
      </c>
      <c r="H242" s="50">
        <f>[1]标准人!D80*0.74</f>
        <v>13024</v>
      </c>
      <c r="I242" s="51">
        <v>0.4</v>
      </c>
      <c r="J242" s="51">
        <v>2</v>
      </c>
      <c r="K242" s="51">
        <v>1</v>
      </c>
      <c r="L242" s="52">
        <f t="shared" si="3"/>
        <v>150234.921616</v>
      </c>
    </row>
    <row r="243" ht="15.6" spans="1:12">
      <c r="A243" s="51">
        <v>3</v>
      </c>
      <c r="B243" s="51" t="s">
        <v>61</v>
      </c>
      <c r="C243" s="50" t="s">
        <v>21</v>
      </c>
      <c r="D243" s="51" t="s">
        <v>58</v>
      </c>
      <c r="E243" s="50">
        <v>80</v>
      </c>
      <c r="F243" s="50">
        <f>[1]标准人!B81*1.2</f>
        <v>3912</v>
      </c>
      <c r="G243" s="50">
        <f>[1]标准人!C81*1.2</f>
        <v>1644.696</v>
      </c>
      <c r="H243" s="50">
        <f>[1]标准人!D81*0.74</f>
        <v>13172</v>
      </c>
      <c r="I243" s="51">
        <v>0.4</v>
      </c>
      <c r="J243" s="51">
        <v>2</v>
      </c>
      <c r="K243" s="51">
        <v>1</v>
      </c>
      <c r="L243" s="52">
        <f t="shared" si="3"/>
        <v>151958.443688</v>
      </c>
    </row>
    <row r="244" ht="15.6" spans="1:12">
      <c r="A244" s="51">
        <v>4</v>
      </c>
      <c r="B244" s="51" t="s">
        <v>62</v>
      </c>
      <c r="C244" s="50" t="s">
        <v>22</v>
      </c>
      <c r="D244" s="50" t="s">
        <v>33</v>
      </c>
      <c r="E244" s="50">
        <v>1</v>
      </c>
      <c r="F244" s="50">
        <f>[1]标准人!B2*0.59</f>
        <v>59</v>
      </c>
      <c r="G244" s="50">
        <f>[1]标准人!C2*0.71</f>
        <v>355</v>
      </c>
      <c r="H244" s="50">
        <f>[1]标准人!D2*0.68</f>
        <v>1360</v>
      </c>
      <c r="I244" s="51">
        <v>0.4</v>
      </c>
      <c r="J244" s="51">
        <v>2</v>
      </c>
      <c r="K244" s="51">
        <v>1</v>
      </c>
      <c r="L244" s="52">
        <f t="shared" si="3"/>
        <v>8993.4</v>
      </c>
    </row>
    <row r="245" ht="15.6" spans="1:12">
      <c r="A245" s="51">
        <v>4</v>
      </c>
      <c r="B245" s="51" t="s">
        <v>62</v>
      </c>
      <c r="C245" s="50" t="s">
        <v>22</v>
      </c>
      <c r="D245" s="50" t="s">
        <v>33</v>
      </c>
      <c r="E245" s="50">
        <v>2</v>
      </c>
      <c r="F245" s="50">
        <f>[1]标准人!B3*0.59</f>
        <v>82.6</v>
      </c>
      <c r="G245" s="50">
        <f>[1]标准人!C3*0.71</f>
        <v>362.8242</v>
      </c>
      <c r="H245" s="50">
        <f>[1]标准人!D3*0.68</f>
        <v>1496</v>
      </c>
      <c r="I245" s="51">
        <v>0.4</v>
      </c>
      <c r="J245" s="51">
        <v>2</v>
      </c>
      <c r="K245" s="51">
        <v>1</v>
      </c>
      <c r="L245" s="52">
        <f t="shared" si="3"/>
        <v>9941.4963</v>
      </c>
    </row>
    <row r="246" ht="15.6" spans="1:12">
      <c r="A246" s="51">
        <v>4</v>
      </c>
      <c r="B246" s="51" t="s">
        <v>62</v>
      </c>
      <c r="C246" s="50" t="s">
        <v>22</v>
      </c>
      <c r="D246" s="50" t="s">
        <v>33</v>
      </c>
      <c r="E246" s="50">
        <v>3</v>
      </c>
      <c r="F246" s="50">
        <f>[1]标准人!B4*0.59</f>
        <v>106.2</v>
      </c>
      <c r="G246" s="50">
        <f>[1]标准人!C4*0.71</f>
        <v>370.6484</v>
      </c>
      <c r="H246" s="50">
        <f>[1]标准人!D4*0.68</f>
        <v>1632</v>
      </c>
      <c r="I246" s="51">
        <v>0.4</v>
      </c>
      <c r="J246" s="51">
        <v>2</v>
      </c>
      <c r="K246" s="51">
        <v>1</v>
      </c>
      <c r="L246" s="52">
        <f t="shared" si="3"/>
        <v>10889.5926</v>
      </c>
    </row>
    <row r="247" ht="15.6" spans="1:12">
      <c r="A247" s="51">
        <v>4</v>
      </c>
      <c r="B247" s="51" t="s">
        <v>62</v>
      </c>
      <c r="C247" s="50" t="s">
        <v>22</v>
      </c>
      <c r="D247" s="50" t="s">
        <v>33</v>
      </c>
      <c r="E247" s="50">
        <v>4</v>
      </c>
      <c r="F247" s="50">
        <f>[1]标准人!B5*0.59</f>
        <v>129.8</v>
      </c>
      <c r="G247" s="50">
        <f>[1]标准人!C5*0.71</f>
        <v>378.4726</v>
      </c>
      <c r="H247" s="50">
        <f>[1]标准人!D5*0.68</f>
        <v>1768</v>
      </c>
      <c r="I247" s="51">
        <v>0.4</v>
      </c>
      <c r="J247" s="51">
        <v>2</v>
      </c>
      <c r="K247" s="51">
        <v>1</v>
      </c>
      <c r="L247" s="52">
        <f t="shared" si="3"/>
        <v>11837.6889</v>
      </c>
    </row>
    <row r="248" ht="15.6" spans="1:12">
      <c r="A248" s="51">
        <v>4</v>
      </c>
      <c r="B248" s="51" t="s">
        <v>62</v>
      </c>
      <c r="C248" s="50" t="s">
        <v>22</v>
      </c>
      <c r="D248" s="50" t="s">
        <v>33</v>
      </c>
      <c r="E248" s="50">
        <v>5</v>
      </c>
      <c r="F248" s="50">
        <f>[1]标准人!B6*0.59</f>
        <v>153.4</v>
      </c>
      <c r="G248" s="50">
        <f>[1]标准人!C6*0.71</f>
        <v>386.2968</v>
      </c>
      <c r="H248" s="50">
        <f>[1]标准人!D6*0.68</f>
        <v>1904</v>
      </c>
      <c r="I248" s="51">
        <v>0.4</v>
      </c>
      <c r="J248" s="51">
        <v>2</v>
      </c>
      <c r="K248" s="51">
        <v>1</v>
      </c>
      <c r="L248" s="52">
        <f t="shared" si="3"/>
        <v>12785.7852</v>
      </c>
    </row>
    <row r="249" ht="15.6" spans="1:12">
      <c r="A249" s="51">
        <v>4</v>
      </c>
      <c r="B249" s="51" t="s">
        <v>62</v>
      </c>
      <c r="C249" s="50" t="s">
        <v>22</v>
      </c>
      <c r="D249" s="50" t="s">
        <v>33</v>
      </c>
      <c r="E249" s="50">
        <v>6</v>
      </c>
      <c r="F249" s="50">
        <f>[1]标准人!B7*0.59</f>
        <v>177</v>
      </c>
      <c r="G249" s="50">
        <f>[1]标准人!C7*0.71</f>
        <v>394.121</v>
      </c>
      <c r="H249" s="50">
        <f>[1]标准人!D7*0.68</f>
        <v>2040</v>
      </c>
      <c r="I249" s="51">
        <v>0.4</v>
      </c>
      <c r="J249" s="51">
        <v>2</v>
      </c>
      <c r="K249" s="51">
        <v>1</v>
      </c>
      <c r="L249" s="52">
        <f t="shared" si="3"/>
        <v>13733.8815</v>
      </c>
    </row>
    <row r="250" ht="15.6" spans="1:12">
      <c r="A250" s="51">
        <v>4</v>
      </c>
      <c r="B250" s="51" t="s">
        <v>62</v>
      </c>
      <c r="C250" s="50" t="s">
        <v>22</v>
      </c>
      <c r="D250" s="50" t="s">
        <v>33</v>
      </c>
      <c r="E250" s="50">
        <v>7</v>
      </c>
      <c r="F250" s="50">
        <f>[1]标准人!B8*0.59</f>
        <v>200.6</v>
      </c>
      <c r="G250" s="50">
        <f>[1]标准人!C8*0.71</f>
        <v>401.9452</v>
      </c>
      <c r="H250" s="50">
        <f>[1]标准人!D8*0.68</f>
        <v>2176</v>
      </c>
      <c r="I250" s="51">
        <v>0.4</v>
      </c>
      <c r="J250" s="51">
        <v>2</v>
      </c>
      <c r="K250" s="51">
        <v>1</v>
      </c>
      <c r="L250" s="52">
        <f t="shared" si="3"/>
        <v>14681.9778</v>
      </c>
    </row>
    <row r="251" ht="15.6" spans="1:12">
      <c r="A251" s="51">
        <v>4</v>
      </c>
      <c r="B251" s="51" t="s">
        <v>62</v>
      </c>
      <c r="C251" s="50" t="s">
        <v>22</v>
      </c>
      <c r="D251" s="50" t="s">
        <v>33</v>
      </c>
      <c r="E251" s="50">
        <v>8</v>
      </c>
      <c r="F251" s="50">
        <f>[1]标准人!B9*0.59</f>
        <v>224.2</v>
      </c>
      <c r="G251" s="50">
        <f>[1]标准人!C9*0.71</f>
        <v>409.7694</v>
      </c>
      <c r="H251" s="50">
        <f>[1]标准人!D9*0.68</f>
        <v>2312</v>
      </c>
      <c r="I251" s="51">
        <v>0.4</v>
      </c>
      <c r="J251" s="51">
        <v>2</v>
      </c>
      <c r="K251" s="51">
        <v>1</v>
      </c>
      <c r="L251" s="52">
        <f t="shared" si="3"/>
        <v>15630.0741</v>
      </c>
    </row>
    <row r="252" ht="15.6" spans="1:12">
      <c r="A252" s="51">
        <v>4</v>
      </c>
      <c r="B252" s="51" t="s">
        <v>62</v>
      </c>
      <c r="C252" s="50" t="s">
        <v>22</v>
      </c>
      <c r="D252" s="50" t="s">
        <v>33</v>
      </c>
      <c r="E252" s="50">
        <v>9</v>
      </c>
      <c r="F252" s="50">
        <f>[1]标准人!B10*0.59</f>
        <v>247.8</v>
      </c>
      <c r="G252" s="50">
        <f>[1]标准人!C10*0.71</f>
        <v>417.5936</v>
      </c>
      <c r="H252" s="50">
        <f>[1]标准人!D10*0.68</f>
        <v>2448</v>
      </c>
      <c r="I252" s="51">
        <v>0.4</v>
      </c>
      <c r="J252" s="51">
        <v>2</v>
      </c>
      <c r="K252" s="51">
        <v>1</v>
      </c>
      <c r="L252" s="52">
        <f t="shared" si="3"/>
        <v>16578.1704</v>
      </c>
    </row>
    <row r="253" ht="15.6" spans="1:12">
      <c r="A253" s="51">
        <v>4</v>
      </c>
      <c r="B253" s="51" t="s">
        <v>62</v>
      </c>
      <c r="C253" s="50" t="s">
        <v>22</v>
      </c>
      <c r="D253" s="50" t="s">
        <v>33</v>
      </c>
      <c r="E253" s="50">
        <v>10</v>
      </c>
      <c r="F253" s="50">
        <f>[1]标准人!B11*0.59</f>
        <v>271.4</v>
      </c>
      <c r="G253" s="50">
        <f>[1]标准人!C11*0.71</f>
        <v>425.4178</v>
      </c>
      <c r="H253" s="50">
        <f>[1]标准人!D11*0.68</f>
        <v>2584</v>
      </c>
      <c r="I253" s="51">
        <v>0.4</v>
      </c>
      <c r="J253" s="51">
        <v>2</v>
      </c>
      <c r="K253" s="51">
        <v>1</v>
      </c>
      <c r="L253" s="52">
        <f t="shared" si="3"/>
        <v>17526.2667</v>
      </c>
    </row>
    <row r="254" ht="15.6" spans="1:12">
      <c r="A254" s="51">
        <v>4</v>
      </c>
      <c r="B254" s="51" t="s">
        <v>62</v>
      </c>
      <c r="C254" s="50" t="s">
        <v>22</v>
      </c>
      <c r="D254" s="50" t="s">
        <v>33</v>
      </c>
      <c r="E254" s="50">
        <v>11</v>
      </c>
      <c r="F254" s="50">
        <f>[1]标准人!B12*0.59</f>
        <v>295</v>
      </c>
      <c r="G254" s="50">
        <f>[1]标准人!C12*0.71</f>
        <v>433.242</v>
      </c>
      <c r="H254" s="50">
        <f>[1]标准人!D12*0.68</f>
        <v>2720</v>
      </c>
      <c r="I254" s="51">
        <v>0.4</v>
      </c>
      <c r="J254" s="51">
        <v>2</v>
      </c>
      <c r="K254" s="51">
        <v>1</v>
      </c>
      <c r="L254" s="52">
        <f t="shared" si="3"/>
        <v>18474.363</v>
      </c>
    </row>
    <row r="255" ht="15.6" spans="1:12">
      <c r="A255" s="51">
        <v>4</v>
      </c>
      <c r="B255" s="51" t="s">
        <v>62</v>
      </c>
      <c r="C255" s="50" t="s">
        <v>22</v>
      </c>
      <c r="D255" s="50" t="s">
        <v>33</v>
      </c>
      <c r="E255" s="50">
        <v>12</v>
      </c>
      <c r="F255" s="50">
        <f>[1]标准人!B13*0.59</f>
        <v>318.6</v>
      </c>
      <c r="G255" s="50">
        <f>[1]标准人!C13*0.71</f>
        <v>441.0662</v>
      </c>
      <c r="H255" s="50">
        <f>[1]标准人!D13*0.68</f>
        <v>2856</v>
      </c>
      <c r="I255" s="51">
        <v>0.4</v>
      </c>
      <c r="J255" s="51">
        <v>2</v>
      </c>
      <c r="K255" s="51">
        <v>1</v>
      </c>
      <c r="L255" s="52">
        <f t="shared" si="3"/>
        <v>19422.4593</v>
      </c>
    </row>
    <row r="256" ht="15.6" spans="1:12">
      <c r="A256" s="51">
        <v>4</v>
      </c>
      <c r="B256" s="51" t="s">
        <v>62</v>
      </c>
      <c r="C256" s="50" t="s">
        <v>22</v>
      </c>
      <c r="D256" s="50" t="s">
        <v>33</v>
      </c>
      <c r="E256" s="50">
        <v>13</v>
      </c>
      <c r="F256" s="50">
        <f>[1]标准人!B14*0.59</f>
        <v>342.2</v>
      </c>
      <c r="G256" s="50">
        <f>[1]标准人!C14*0.71</f>
        <v>448.8904</v>
      </c>
      <c r="H256" s="50">
        <f>[1]标准人!D14*0.68</f>
        <v>2992</v>
      </c>
      <c r="I256" s="51">
        <v>0.4</v>
      </c>
      <c r="J256" s="51">
        <v>2</v>
      </c>
      <c r="K256" s="51">
        <v>1</v>
      </c>
      <c r="L256" s="52">
        <f t="shared" si="3"/>
        <v>20370.5556</v>
      </c>
    </row>
    <row r="257" ht="15.6" spans="1:12">
      <c r="A257" s="51">
        <v>4</v>
      </c>
      <c r="B257" s="51" t="s">
        <v>62</v>
      </c>
      <c r="C257" s="50" t="s">
        <v>22</v>
      </c>
      <c r="D257" s="50" t="s">
        <v>33</v>
      </c>
      <c r="E257" s="50">
        <v>14</v>
      </c>
      <c r="F257" s="50">
        <f>[1]标准人!B15*0.59</f>
        <v>365.8</v>
      </c>
      <c r="G257" s="50">
        <f>[1]标准人!C15*0.71</f>
        <v>456.7146</v>
      </c>
      <c r="H257" s="50">
        <f>[1]标准人!D15*0.68</f>
        <v>3128</v>
      </c>
      <c r="I257" s="51">
        <v>0.4</v>
      </c>
      <c r="J257" s="51">
        <v>2</v>
      </c>
      <c r="K257" s="51">
        <v>1</v>
      </c>
      <c r="L257" s="52">
        <f t="shared" si="3"/>
        <v>21318.6519</v>
      </c>
    </row>
    <row r="258" ht="15.6" spans="1:12">
      <c r="A258" s="51">
        <v>4</v>
      </c>
      <c r="B258" s="51" t="s">
        <v>62</v>
      </c>
      <c r="C258" s="50" t="s">
        <v>22</v>
      </c>
      <c r="D258" s="50" t="s">
        <v>33</v>
      </c>
      <c r="E258" s="50">
        <v>15</v>
      </c>
      <c r="F258" s="50">
        <f>[1]标准人!B16*0.59</f>
        <v>389.4</v>
      </c>
      <c r="G258" s="50">
        <f>[1]标准人!C16*0.71</f>
        <v>464.5388</v>
      </c>
      <c r="H258" s="50">
        <f>[1]标准人!D16*0.68</f>
        <v>3264</v>
      </c>
      <c r="I258" s="51">
        <v>0.4</v>
      </c>
      <c r="J258" s="51">
        <v>2</v>
      </c>
      <c r="K258" s="51">
        <v>1</v>
      </c>
      <c r="L258" s="52">
        <f t="shared" si="3"/>
        <v>22266.7482</v>
      </c>
    </row>
    <row r="259" ht="15.6" spans="1:12">
      <c r="A259" s="51">
        <v>4</v>
      </c>
      <c r="B259" s="51" t="s">
        <v>62</v>
      </c>
      <c r="C259" s="50" t="s">
        <v>22</v>
      </c>
      <c r="D259" s="50" t="s">
        <v>33</v>
      </c>
      <c r="E259" s="50">
        <v>16</v>
      </c>
      <c r="F259" s="50">
        <f>[1]标准人!B17*0.59</f>
        <v>413</v>
      </c>
      <c r="G259" s="50">
        <f>[1]标准人!C17*0.71</f>
        <v>472.363</v>
      </c>
      <c r="H259" s="50">
        <f>[1]标准人!D17*0.68</f>
        <v>3400</v>
      </c>
      <c r="I259" s="51">
        <v>0.4</v>
      </c>
      <c r="J259" s="51">
        <v>2</v>
      </c>
      <c r="K259" s="51">
        <v>1</v>
      </c>
      <c r="L259" s="52">
        <f t="shared" si="3"/>
        <v>23214.8445</v>
      </c>
    </row>
    <row r="260" ht="15.6" spans="1:12">
      <c r="A260" s="51">
        <v>4</v>
      </c>
      <c r="B260" s="51" t="s">
        <v>62</v>
      </c>
      <c r="C260" s="50" t="s">
        <v>22</v>
      </c>
      <c r="D260" s="50" t="s">
        <v>33</v>
      </c>
      <c r="E260" s="50">
        <v>17</v>
      </c>
      <c r="F260" s="50">
        <f>[1]标准人!B18*0.59</f>
        <v>436.6</v>
      </c>
      <c r="G260" s="50">
        <f>[1]标准人!C18*0.71</f>
        <v>480.1872</v>
      </c>
      <c r="H260" s="50">
        <f>[1]标准人!D18*0.68</f>
        <v>3536</v>
      </c>
      <c r="I260" s="51">
        <v>0.4</v>
      </c>
      <c r="J260" s="51">
        <v>2</v>
      </c>
      <c r="K260" s="51">
        <v>1</v>
      </c>
      <c r="L260" s="52">
        <f t="shared" ref="L260:L323" si="4">IF(D260="SNIP",((F260*0.4+G260*0.01+H260*1)*10.3),IF(D260="DPS",(F260*0.17+G260*0.05+H260*0.2)*30,(F260*0.1+G260*0.2+H260*1)*10/2.1))</f>
        <v>24162.9408</v>
      </c>
    </row>
    <row r="261" ht="15.6" spans="1:12">
      <c r="A261" s="51">
        <v>4</v>
      </c>
      <c r="B261" s="51" t="s">
        <v>62</v>
      </c>
      <c r="C261" s="50" t="s">
        <v>22</v>
      </c>
      <c r="D261" s="50" t="s">
        <v>33</v>
      </c>
      <c r="E261" s="50">
        <v>18</v>
      </c>
      <c r="F261" s="50">
        <f>[1]标准人!B19*0.59</f>
        <v>460.2</v>
      </c>
      <c r="G261" s="50">
        <f>[1]标准人!C19*0.71</f>
        <v>488.0114</v>
      </c>
      <c r="H261" s="50">
        <f>[1]标准人!D19*0.68</f>
        <v>3672</v>
      </c>
      <c r="I261" s="51">
        <v>0.4</v>
      </c>
      <c r="J261" s="51">
        <v>2</v>
      </c>
      <c r="K261" s="51">
        <v>1</v>
      </c>
      <c r="L261" s="52">
        <f t="shared" si="4"/>
        <v>25111.0371</v>
      </c>
    </row>
    <row r="262" ht="15.6" spans="1:12">
      <c r="A262" s="51">
        <v>4</v>
      </c>
      <c r="B262" s="51" t="s">
        <v>62</v>
      </c>
      <c r="C262" s="50" t="s">
        <v>22</v>
      </c>
      <c r="D262" s="50" t="s">
        <v>33</v>
      </c>
      <c r="E262" s="50">
        <v>19</v>
      </c>
      <c r="F262" s="50">
        <f>[1]标准人!B20*0.59</f>
        <v>483.8</v>
      </c>
      <c r="G262" s="50">
        <f>[1]标准人!C20*0.71</f>
        <v>495.8356</v>
      </c>
      <c r="H262" s="50">
        <f>[1]标准人!D20*0.68</f>
        <v>3808</v>
      </c>
      <c r="I262" s="51">
        <v>0.4</v>
      </c>
      <c r="J262" s="51">
        <v>2</v>
      </c>
      <c r="K262" s="51">
        <v>1</v>
      </c>
      <c r="L262" s="52">
        <f t="shared" si="4"/>
        <v>26059.1334</v>
      </c>
    </row>
    <row r="263" ht="15.6" spans="1:12">
      <c r="A263" s="51">
        <v>4</v>
      </c>
      <c r="B263" s="51" t="s">
        <v>62</v>
      </c>
      <c r="C263" s="50" t="s">
        <v>22</v>
      </c>
      <c r="D263" s="50" t="s">
        <v>33</v>
      </c>
      <c r="E263" s="50">
        <v>20</v>
      </c>
      <c r="F263" s="50">
        <f>[1]标准人!B21*0.59</f>
        <v>507.4</v>
      </c>
      <c r="G263" s="50">
        <f>[1]标准人!C21*0.71</f>
        <v>503.6598</v>
      </c>
      <c r="H263" s="50">
        <f>[1]标准人!D21*0.68</f>
        <v>3944</v>
      </c>
      <c r="I263" s="51">
        <v>0.4</v>
      </c>
      <c r="J263" s="51">
        <v>2</v>
      </c>
      <c r="K263" s="51">
        <v>1</v>
      </c>
      <c r="L263" s="52">
        <f t="shared" si="4"/>
        <v>27007.2297</v>
      </c>
    </row>
    <row r="264" ht="15.6" spans="1:12">
      <c r="A264" s="51">
        <v>4</v>
      </c>
      <c r="B264" s="51" t="s">
        <v>62</v>
      </c>
      <c r="C264" s="50" t="s">
        <v>22</v>
      </c>
      <c r="D264" s="50" t="s">
        <v>33</v>
      </c>
      <c r="E264" s="50">
        <v>21</v>
      </c>
      <c r="F264" s="50">
        <f>[1]标准人!B22*0.59</f>
        <v>531</v>
      </c>
      <c r="G264" s="50">
        <f>[1]标准人!C22*0.71</f>
        <v>511.484</v>
      </c>
      <c r="H264" s="50">
        <f>[1]标准人!D22*0.68</f>
        <v>4080</v>
      </c>
      <c r="I264" s="51">
        <v>0.4</v>
      </c>
      <c r="J264" s="51">
        <v>2</v>
      </c>
      <c r="K264" s="51">
        <v>1</v>
      </c>
      <c r="L264" s="52">
        <f t="shared" si="4"/>
        <v>27955.326</v>
      </c>
    </row>
    <row r="265" ht="15.6" spans="1:12">
      <c r="A265" s="51">
        <v>4</v>
      </c>
      <c r="B265" s="51" t="s">
        <v>62</v>
      </c>
      <c r="C265" s="50" t="s">
        <v>22</v>
      </c>
      <c r="D265" s="50" t="s">
        <v>33</v>
      </c>
      <c r="E265" s="50">
        <v>22</v>
      </c>
      <c r="F265" s="50">
        <f>[1]标准人!B23*0.59</f>
        <v>554.6</v>
      </c>
      <c r="G265" s="50">
        <f>[1]标准人!C23*0.71</f>
        <v>519.3082</v>
      </c>
      <c r="H265" s="50">
        <f>[1]标准人!D23*0.68</f>
        <v>4216</v>
      </c>
      <c r="I265" s="51">
        <v>0.4</v>
      </c>
      <c r="J265" s="51">
        <v>2</v>
      </c>
      <c r="K265" s="51">
        <v>1</v>
      </c>
      <c r="L265" s="52">
        <f t="shared" si="4"/>
        <v>28903.4223</v>
      </c>
    </row>
    <row r="266" ht="15.6" spans="1:12">
      <c r="A266" s="51">
        <v>4</v>
      </c>
      <c r="B266" s="51" t="s">
        <v>62</v>
      </c>
      <c r="C266" s="50" t="s">
        <v>22</v>
      </c>
      <c r="D266" s="50" t="s">
        <v>33</v>
      </c>
      <c r="E266" s="50">
        <v>23</v>
      </c>
      <c r="F266" s="50">
        <f>[1]标准人!B24*0.59</f>
        <v>578.2</v>
      </c>
      <c r="G266" s="50">
        <f>[1]标准人!C24*0.71</f>
        <v>527.1324</v>
      </c>
      <c r="H266" s="50">
        <f>[1]标准人!D24*0.68</f>
        <v>4352</v>
      </c>
      <c r="I266" s="51">
        <v>0.4</v>
      </c>
      <c r="J266" s="51">
        <v>2</v>
      </c>
      <c r="K266" s="51">
        <v>1</v>
      </c>
      <c r="L266" s="52">
        <f t="shared" si="4"/>
        <v>29851.5186</v>
      </c>
    </row>
    <row r="267" ht="15.6" spans="1:12">
      <c r="A267" s="51">
        <v>4</v>
      </c>
      <c r="B267" s="51" t="s">
        <v>62</v>
      </c>
      <c r="C267" s="50" t="s">
        <v>22</v>
      </c>
      <c r="D267" s="50" t="s">
        <v>33</v>
      </c>
      <c r="E267" s="50">
        <v>24</v>
      </c>
      <c r="F267" s="50">
        <f>[1]标准人!B25*0.59</f>
        <v>601.8</v>
      </c>
      <c r="G267" s="50">
        <f>[1]标准人!C25*0.71</f>
        <v>534.9566</v>
      </c>
      <c r="H267" s="50">
        <f>[1]标准人!D25*0.68</f>
        <v>4488</v>
      </c>
      <c r="I267" s="51">
        <v>0.4</v>
      </c>
      <c r="J267" s="51">
        <v>2</v>
      </c>
      <c r="K267" s="51">
        <v>1</v>
      </c>
      <c r="L267" s="52">
        <f t="shared" si="4"/>
        <v>30799.6149</v>
      </c>
    </row>
    <row r="268" ht="15.6" spans="1:12">
      <c r="A268" s="51">
        <v>4</v>
      </c>
      <c r="B268" s="51" t="s">
        <v>62</v>
      </c>
      <c r="C268" s="50" t="s">
        <v>22</v>
      </c>
      <c r="D268" s="50" t="s">
        <v>33</v>
      </c>
      <c r="E268" s="50">
        <v>25</v>
      </c>
      <c r="F268" s="50">
        <f>[1]标准人!B26*0.59</f>
        <v>625.4</v>
      </c>
      <c r="G268" s="50">
        <f>[1]标准人!C26*0.71</f>
        <v>542.7808</v>
      </c>
      <c r="H268" s="50">
        <f>[1]标准人!D26*0.68</f>
        <v>4624</v>
      </c>
      <c r="I268" s="51">
        <v>0.4</v>
      </c>
      <c r="J268" s="51">
        <v>2</v>
      </c>
      <c r="K268" s="51">
        <v>1</v>
      </c>
      <c r="L268" s="52">
        <f t="shared" si="4"/>
        <v>31747.7112</v>
      </c>
    </row>
    <row r="269" ht="15.6" spans="1:12">
      <c r="A269" s="51">
        <v>4</v>
      </c>
      <c r="B269" s="51" t="s">
        <v>62</v>
      </c>
      <c r="C269" s="50" t="s">
        <v>22</v>
      </c>
      <c r="D269" s="50" t="s">
        <v>33</v>
      </c>
      <c r="E269" s="50">
        <v>26</v>
      </c>
      <c r="F269" s="50">
        <f>[1]标准人!B27*0.59</f>
        <v>649</v>
      </c>
      <c r="G269" s="50">
        <f>[1]标准人!C27*0.71</f>
        <v>550.605</v>
      </c>
      <c r="H269" s="50">
        <f>[1]标准人!D27*0.68</f>
        <v>4760</v>
      </c>
      <c r="I269" s="51">
        <v>0.4</v>
      </c>
      <c r="J269" s="51">
        <v>2</v>
      </c>
      <c r="K269" s="51">
        <v>1</v>
      </c>
      <c r="L269" s="52">
        <f t="shared" si="4"/>
        <v>32695.8075</v>
      </c>
    </row>
    <row r="270" ht="15.6" spans="1:12">
      <c r="A270" s="51">
        <v>4</v>
      </c>
      <c r="B270" s="51" t="s">
        <v>62</v>
      </c>
      <c r="C270" s="50" t="s">
        <v>22</v>
      </c>
      <c r="D270" s="50" t="s">
        <v>33</v>
      </c>
      <c r="E270" s="50">
        <v>27</v>
      </c>
      <c r="F270" s="50">
        <f>[1]标准人!B28*0.59</f>
        <v>672.6</v>
      </c>
      <c r="G270" s="50">
        <f>[1]标准人!C28*0.71</f>
        <v>558.4292</v>
      </c>
      <c r="H270" s="50">
        <f>[1]标准人!D28*0.68</f>
        <v>4896</v>
      </c>
      <c r="I270" s="51">
        <v>0.4</v>
      </c>
      <c r="J270" s="51">
        <v>2</v>
      </c>
      <c r="K270" s="51">
        <v>1</v>
      </c>
      <c r="L270" s="52">
        <f t="shared" si="4"/>
        <v>33643.9038</v>
      </c>
    </row>
    <row r="271" ht="15.6" spans="1:12">
      <c r="A271" s="51">
        <v>4</v>
      </c>
      <c r="B271" s="51" t="s">
        <v>62</v>
      </c>
      <c r="C271" s="50" t="s">
        <v>22</v>
      </c>
      <c r="D271" s="50" t="s">
        <v>33</v>
      </c>
      <c r="E271" s="50">
        <v>28</v>
      </c>
      <c r="F271" s="50">
        <f>[1]标准人!B29*0.59</f>
        <v>696.2</v>
      </c>
      <c r="G271" s="50">
        <f>[1]标准人!C29*0.71</f>
        <v>566.2534</v>
      </c>
      <c r="H271" s="50">
        <f>[1]标准人!D29*0.68</f>
        <v>5032</v>
      </c>
      <c r="I271" s="51">
        <v>0.4</v>
      </c>
      <c r="J271" s="51">
        <v>2</v>
      </c>
      <c r="K271" s="51">
        <v>1</v>
      </c>
      <c r="L271" s="52">
        <f t="shared" si="4"/>
        <v>34592.0001</v>
      </c>
    </row>
    <row r="272" ht="15.6" spans="1:12">
      <c r="A272" s="51">
        <v>4</v>
      </c>
      <c r="B272" s="51" t="s">
        <v>62</v>
      </c>
      <c r="C272" s="50" t="s">
        <v>22</v>
      </c>
      <c r="D272" s="50" t="s">
        <v>33</v>
      </c>
      <c r="E272" s="50">
        <v>29</v>
      </c>
      <c r="F272" s="50">
        <f>[1]标准人!B30*0.59</f>
        <v>719.8</v>
      </c>
      <c r="G272" s="50">
        <f>[1]标准人!C30*0.71</f>
        <v>574.0776</v>
      </c>
      <c r="H272" s="50">
        <f>[1]标准人!D30*0.68</f>
        <v>5168</v>
      </c>
      <c r="I272" s="51">
        <v>0.4</v>
      </c>
      <c r="J272" s="51">
        <v>2</v>
      </c>
      <c r="K272" s="51">
        <v>1</v>
      </c>
      <c r="L272" s="52">
        <f t="shared" si="4"/>
        <v>35540.0964</v>
      </c>
    </row>
    <row r="273" ht="15.6" spans="1:12">
      <c r="A273" s="51">
        <v>4</v>
      </c>
      <c r="B273" s="51" t="s">
        <v>62</v>
      </c>
      <c r="C273" s="50" t="s">
        <v>22</v>
      </c>
      <c r="D273" s="50" t="s">
        <v>33</v>
      </c>
      <c r="E273" s="50">
        <v>30</v>
      </c>
      <c r="F273" s="50">
        <f>[1]标准人!B31*0.59</f>
        <v>743.4</v>
      </c>
      <c r="G273" s="50">
        <f>[1]标准人!C31*0.71</f>
        <v>581.9018</v>
      </c>
      <c r="H273" s="50">
        <f>[1]标准人!D31*0.68</f>
        <v>5304</v>
      </c>
      <c r="I273" s="51">
        <v>0.4</v>
      </c>
      <c r="J273" s="51">
        <v>2</v>
      </c>
      <c r="K273" s="51">
        <v>1</v>
      </c>
      <c r="L273" s="52">
        <f t="shared" si="4"/>
        <v>36488.1927</v>
      </c>
    </row>
    <row r="274" ht="15.6" spans="1:12">
      <c r="A274" s="51">
        <v>4</v>
      </c>
      <c r="B274" s="51" t="s">
        <v>62</v>
      </c>
      <c r="C274" s="50" t="s">
        <v>22</v>
      </c>
      <c r="D274" s="50" t="s">
        <v>33</v>
      </c>
      <c r="E274" s="50">
        <v>31</v>
      </c>
      <c r="F274" s="50">
        <f>[1]标准人!B32*0.59</f>
        <v>767</v>
      </c>
      <c r="G274" s="50">
        <f>[1]标准人!C32*0.71</f>
        <v>589.726</v>
      </c>
      <c r="H274" s="50">
        <f>[1]标准人!D32*0.68</f>
        <v>5440</v>
      </c>
      <c r="I274" s="51">
        <v>0.4</v>
      </c>
      <c r="J274" s="51">
        <v>2</v>
      </c>
      <c r="K274" s="51">
        <v>1</v>
      </c>
      <c r="L274" s="52">
        <f t="shared" si="4"/>
        <v>37436.289</v>
      </c>
    </row>
    <row r="275" ht="15.6" spans="1:12">
      <c r="A275" s="51">
        <v>4</v>
      </c>
      <c r="B275" s="51" t="s">
        <v>62</v>
      </c>
      <c r="C275" s="50" t="s">
        <v>22</v>
      </c>
      <c r="D275" s="50" t="s">
        <v>33</v>
      </c>
      <c r="E275" s="50">
        <v>32</v>
      </c>
      <c r="F275" s="50">
        <f>[1]标准人!B33*0.59</f>
        <v>790.6</v>
      </c>
      <c r="G275" s="50">
        <f>[1]标准人!C33*0.71</f>
        <v>597.5502</v>
      </c>
      <c r="H275" s="50">
        <f>[1]标准人!D33*0.68</f>
        <v>5576</v>
      </c>
      <c r="I275" s="51">
        <v>0.4</v>
      </c>
      <c r="J275" s="51">
        <v>2</v>
      </c>
      <c r="K275" s="51">
        <v>1</v>
      </c>
      <c r="L275" s="52">
        <f t="shared" si="4"/>
        <v>38384.3853</v>
      </c>
    </row>
    <row r="276" ht="15.6" spans="1:12">
      <c r="A276" s="51">
        <v>4</v>
      </c>
      <c r="B276" s="51" t="s">
        <v>62</v>
      </c>
      <c r="C276" s="50" t="s">
        <v>22</v>
      </c>
      <c r="D276" s="50" t="s">
        <v>33</v>
      </c>
      <c r="E276" s="50">
        <v>33</v>
      </c>
      <c r="F276" s="50">
        <f>[1]标准人!B34*0.59</f>
        <v>814.2</v>
      </c>
      <c r="G276" s="50">
        <f>[1]标准人!C34*0.71</f>
        <v>605.3744</v>
      </c>
      <c r="H276" s="50">
        <f>[1]标准人!D34*0.68</f>
        <v>5712</v>
      </c>
      <c r="I276" s="51">
        <v>0.4</v>
      </c>
      <c r="J276" s="51">
        <v>2</v>
      </c>
      <c r="K276" s="51">
        <v>1</v>
      </c>
      <c r="L276" s="52">
        <f t="shared" si="4"/>
        <v>39332.4816</v>
      </c>
    </row>
    <row r="277" ht="15.6" spans="1:12">
      <c r="A277" s="51">
        <v>4</v>
      </c>
      <c r="B277" s="51" t="s">
        <v>62</v>
      </c>
      <c r="C277" s="50" t="s">
        <v>22</v>
      </c>
      <c r="D277" s="50" t="s">
        <v>33</v>
      </c>
      <c r="E277" s="50">
        <v>34</v>
      </c>
      <c r="F277" s="50">
        <f>[1]标准人!B35*0.59</f>
        <v>837.8</v>
      </c>
      <c r="G277" s="50">
        <f>[1]标准人!C35*0.71</f>
        <v>613.1986</v>
      </c>
      <c r="H277" s="50">
        <f>[1]标准人!D35*0.68</f>
        <v>5848</v>
      </c>
      <c r="I277" s="51">
        <v>0.4</v>
      </c>
      <c r="J277" s="51">
        <v>2</v>
      </c>
      <c r="K277" s="51">
        <v>1</v>
      </c>
      <c r="L277" s="52">
        <f t="shared" si="4"/>
        <v>40280.5779</v>
      </c>
    </row>
    <row r="278" ht="15.6" spans="1:12">
      <c r="A278" s="51">
        <v>4</v>
      </c>
      <c r="B278" s="51" t="s">
        <v>62</v>
      </c>
      <c r="C278" s="50" t="s">
        <v>22</v>
      </c>
      <c r="D278" s="50" t="s">
        <v>33</v>
      </c>
      <c r="E278" s="50">
        <v>35</v>
      </c>
      <c r="F278" s="50">
        <f>[1]标准人!B36*0.59</f>
        <v>861.4</v>
      </c>
      <c r="G278" s="50">
        <f>[1]标准人!C36*0.71</f>
        <v>621.0228</v>
      </c>
      <c r="H278" s="50">
        <f>[1]标准人!D36*0.68</f>
        <v>5984</v>
      </c>
      <c r="I278" s="51">
        <v>0.4</v>
      </c>
      <c r="J278" s="51">
        <v>2</v>
      </c>
      <c r="K278" s="51">
        <v>1</v>
      </c>
      <c r="L278" s="52">
        <f t="shared" si="4"/>
        <v>41228.6742</v>
      </c>
    </row>
    <row r="279" ht="15.6" spans="1:12">
      <c r="A279" s="51">
        <v>4</v>
      </c>
      <c r="B279" s="51" t="s">
        <v>62</v>
      </c>
      <c r="C279" s="50" t="s">
        <v>22</v>
      </c>
      <c r="D279" s="50" t="s">
        <v>33</v>
      </c>
      <c r="E279" s="50">
        <v>36</v>
      </c>
      <c r="F279" s="50">
        <f>[1]标准人!B37*0.59</f>
        <v>885</v>
      </c>
      <c r="G279" s="50">
        <f>[1]标准人!C37*0.71</f>
        <v>628.847</v>
      </c>
      <c r="H279" s="50">
        <f>[1]标准人!D37*0.68</f>
        <v>6120</v>
      </c>
      <c r="I279" s="51">
        <v>0.4</v>
      </c>
      <c r="J279" s="51">
        <v>2</v>
      </c>
      <c r="K279" s="51">
        <v>1</v>
      </c>
      <c r="L279" s="52">
        <f t="shared" si="4"/>
        <v>42176.7705</v>
      </c>
    </row>
    <row r="280" ht="15.6" spans="1:12">
      <c r="A280" s="51">
        <v>4</v>
      </c>
      <c r="B280" s="51" t="s">
        <v>62</v>
      </c>
      <c r="C280" s="50" t="s">
        <v>22</v>
      </c>
      <c r="D280" s="50" t="s">
        <v>33</v>
      </c>
      <c r="E280" s="50">
        <v>37</v>
      </c>
      <c r="F280" s="50">
        <f>[1]标准人!B38*0.59</f>
        <v>908.6</v>
      </c>
      <c r="G280" s="50">
        <f>[1]标准人!C38*0.71</f>
        <v>636.6712</v>
      </c>
      <c r="H280" s="50">
        <f>[1]标准人!D38*0.68</f>
        <v>6256</v>
      </c>
      <c r="I280" s="51">
        <v>0.4</v>
      </c>
      <c r="J280" s="51">
        <v>2</v>
      </c>
      <c r="K280" s="51">
        <v>1</v>
      </c>
      <c r="L280" s="52">
        <f t="shared" si="4"/>
        <v>43124.8668</v>
      </c>
    </row>
    <row r="281" ht="15.6" spans="1:12">
      <c r="A281" s="51">
        <v>4</v>
      </c>
      <c r="B281" s="51" t="s">
        <v>62</v>
      </c>
      <c r="C281" s="50" t="s">
        <v>22</v>
      </c>
      <c r="D281" s="50" t="s">
        <v>33</v>
      </c>
      <c r="E281" s="50">
        <v>38</v>
      </c>
      <c r="F281" s="50">
        <f>[1]标准人!B39*0.59</f>
        <v>932.2</v>
      </c>
      <c r="G281" s="50">
        <f>[1]标准人!C39*0.71</f>
        <v>644.4954</v>
      </c>
      <c r="H281" s="50">
        <f>[1]标准人!D39*0.68</f>
        <v>6392</v>
      </c>
      <c r="I281" s="51">
        <v>0.4</v>
      </c>
      <c r="J281" s="51">
        <v>2</v>
      </c>
      <c r="K281" s="51">
        <v>1</v>
      </c>
      <c r="L281" s="52">
        <f t="shared" si="4"/>
        <v>44072.9631</v>
      </c>
    </row>
    <row r="282" ht="15.6" spans="1:12">
      <c r="A282" s="51">
        <v>4</v>
      </c>
      <c r="B282" s="51" t="s">
        <v>62</v>
      </c>
      <c r="C282" s="50" t="s">
        <v>22</v>
      </c>
      <c r="D282" s="50" t="s">
        <v>33</v>
      </c>
      <c r="E282" s="50">
        <v>39</v>
      </c>
      <c r="F282" s="50">
        <f>[1]标准人!B40*0.59</f>
        <v>955.8</v>
      </c>
      <c r="G282" s="50">
        <f>[1]标准人!C40*0.71</f>
        <v>652.3196</v>
      </c>
      <c r="H282" s="50">
        <f>[1]标准人!D40*0.68</f>
        <v>6528</v>
      </c>
      <c r="I282" s="51">
        <v>0.4</v>
      </c>
      <c r="J282" s="51">
        <v>2</v>
      </c>
      <c r="K282" s="51">
        <v>1</v>
      </c>
      <c r="L282" s="52">
        <f t="shared" si="4"/>
        <v>45021.0594</v>
      </c>
    </row>
    <row r="283" ht="15.6" spans="1:12">
      <c r="A283" s="51">
        <v>4</v>
      </c>
      <c r="B283" s="51" t="s">
        <v>62</v>
      </c>
      <c r="C283" s="50" t="s">
        <v>22</v>
      </c>
      <c r="D283" s="50" t="s">
        <v>33</v>
      </c>
      <c r="E283" s="50">
        <v>40</v>
      </c>
      <c r="F283" s="50">
        <f>[1]标准人!B41*0.59</f>
        <v>979.4</v>
      </c>
      <c r="G283" s="50">
        <f>[1]标准人!C41*0.71</f>
        <v>660.1438</v>
      </c>
      <c r="H283" s="50">
        <f>[1]标准人!D41*0.68</f>
        <v>6664</v>
      </c>
      <c r="I283" s="51">
        <v>0.4</v>
      </c>
      <c r="J283" s="51">
        <v>2</v>
      </c>
      <c r="K283" s="51">
        <v>1</v>
      </c>
      <c r="L283" s="52">
        <f t="shared" si="4"/>
        <v>45969.1557</v>
      </c>
    </row>
    <row r="284" ht="15.6" spans="1:12">
      <c r="A284" s="51">
        <v>4</v>
      </c>
      <c r="B284" s="51" t="s">
        <v>62</v>
      </c>
      <c r="C284" s="50" t="s">
        <v>22</v>
      </c>
      <c r="D284" s="50" t="s">
        <v>33</v>
      </c>
      <c r="E284" s="50">
        <v>41</v>
      </c>
      <c r="F284" s="50">
        <f>[1]标准人!B42*0.59</f>
        <v>1003</v>
      </c>
      <c r="G284" s="50">
        <f>[1]标准人!C42*0.71</f>
        <v>667.968</v>
      </c>
      <c r="H284" s="50">
        <f>[1]标准人!D42*0.68</f>
        <v>6800</v>
      </c>
      <c r="I284" s="51">
        <v>0.4</v>
      </c>
      <c r="J284" s="51">
        <v>2</v>
      </c>
      <c r="K284" s="51">
        <v>1</v>
      </c>
      <c r="L284" s="52">
        <f t="shared" si="4"/>
        <v>46917.252</v>
      </c>
    </row>
    <row r="285" ht="15.6" spans="1:12">
      <c r="A285" s="51">
        <v>4</v>
      </c>
      <c r="B285" s="51" t="s">
        <v>62</v>
      </c>
      <c r="C285" s="50" t="s">
        <v>22</v>
      </c>
      <c r="D285" s="50" t="s">
        <v>33</v>
      </c>
      <c r="E285" s="50">
        <v>42</v>
      </c>
      <c r="F285" s="50">
        <f>[1]标准人!B43*0.59</f>
        <v>1026.6</v>
      </c>
      <c r="G285" s="50">
        <f>[1]标准人!C43*0.71</f>
        <v>675.7922</v>
      </c>
      <c r="H285" s="50">
        <f>[1]标准人!D43*0.68</f>
        <v>6936</v>
      </c>
      <c r="I285" s="51">
        <v>0.4</v>
      </c>
      <c r="J285" s="51">
        <v>2</v>
      </c>
      <c r="K285" s="51">
        <v>1</v>
      </c>
      <c r="L285" s="52">
        <f t="shared" si="4"/>
        <v>47865.3483</v>
      </c>
    </row>
    <row r="286" ht="15.6" spans="1:12">
      <c r="A286" s="51">
        <v>4</v>
      </c>
      <c r="B286" s="51" t="s">
        <v>62</v>
      </c>
      <c r="C286" s="50" t="s">
        <v>22</v>
      </c>
      <c r="D286" s="50" t="s">
        <v>33</v>
      </c>
      <c r="E286" s="50">
        <v>43</v>
      </c>
      <c r="F286" s="50">
        <f>[1]标准人!B44*0.59</f>
        <v>1050.2</v>
      </c>
      <c r="G286" s="50">
        <f>[1]标准人!C44*0.71</f>
        <v>683.6164</v>
      </c>
      <c r="H286" s="50">
        <f>[1]标准人!D44*0.68</f>
        <v>7072</v>
      </c>
      <c r="I286" s="51">
        <v>0.4</v>
      </c>
      <c r="J286" s="51">
        <v>2</v>
      </c>
      <c r="K286" s="51">
        <v>1</v>
      </c>
      <c r="L286" s="52">
        <f t="shared" si="4"/>
        <v>48813.4446</v>
      </c>
    </row>
    <row r="287" ht="15.6" spans="1:12">
      <c r="A287" s="51">
        <v>4</v>
      </c>
      <c r="B287" s="51" t="s">
        <v>62</v>
      </c>
      <c r="C287" s="50" t="s">
        <v>22</v>
      </c>
      <c r="D287" s="50" t="s">
        <v>33</v>
      </c>
      <c r="E287" s="50">
        <v>44</v>
      </c>
      <c r="F287" s="50">
        <f>[1]标准人!B45*0.59</f>
        <v>1073.8</v>
      </c>
      <c r="G287" s="50">
        <f>[1]标准人!C45*0.71</f>
        <v>691.4406</v>
      </c>
      <c r="H287" s="50">
        <f>[1]标准人!D45*0.68</f>
        <v>7208</v>
      </c>
      <c r="I287" s="51">
        <v>0.4</v>
      </c>
      <c r="J287" s="51">
        <v>2</v>
      </c>
      <c r="K287" s="51">
        <v>1</v>
      </c>
      <c r="L287" s="52">
        <f t="shared" si="4"/>
        <v>49761.5409</v>
      </c>
    </row>
    <row r="288" ht="15.6" spans="1:12">
      <c r="A288" s="51">
        <v>4</v>
      </c>
      <c r="B288" s="51" t="s">
        <v>62</v>
      </c>
      <c r="C288" s="50" t="s">
        <v>22</v>
      </c>
      <c r="D288" s="50" t="s">
        <v>33</v>
      </c>
      <c r="E288" s="50">
        <v>45</v>
      </c>
      <c r="F288" s="50">
        <f>[1]标准人!B46*0.59</f>
        <v>1097.4</v>
      </c>
      <c r="G288" s="50">
        <f>[1]标准人!C46*0.71</f>
        <v>699.2648</v>
      </c>
      <c r="H288" s="50">
        <f>[1]标准人!D46*0.68</f>
        <v>7344</v>
      </c>
      <c r="I288" s="51">
        <v>0.4</v>
      </c>
      <c r="J288" s="51">
        <v>2</v>
      </c>
      <c r="K288" s="51">
        <v>1</v>
      </c>
      <c r="L288" s="52">
        <f t="shared" si="4"/>
        <v>50709.6372</v>
      </c>
    </row>
    <row r="289" ht="15.6" spans="1:12">
      <c r="A289" s="51">
        <v>4</v>
      </c>
      <c r="B289" s="51" t="s">
        <v>62</v>
      </c>
      <c r="C289" s="50" t="s">
        <v>22</v>
      </c>
      <c r="D289" s="50" t="s">
        <v>33</v>
      </c>
      <c r="E289" s="50">
        <v>46</v>
      </c>
      <c r="F289" s="50">
        <f>[1]标准人!B47*0.59</f>
        <v>1121</v>
      </c>
      <c r="G289" s="50">
        <f>[1]标准人!C47*0.71</f>
        <v>707.089</v>
      </c>
      <c r="H289" s="50">
        <f>[1]标准人!D47*0.68</f>
        <v>7480</v>
      </c>
      <c r="I289" s="51">
        <v>0.4</v>
      </c>
      <c r="J289" s="51">
        <v>2</v>
      </c>
      <c r="K289" s="51">
        <v>1</v>
      </c>
      <c r="L289" s="52">
        <f t="shared" si="4"/>
        <v>51657.7335</v>
      </c>
    </row>
    <row r="290" ht="15.6" spans="1:12">
      <c r="A290" s="51">
        <v>4</v>
      </c>
      <c r="B290" s="51" t="s">
        <v>62</v>
      </c>
      <c r="C290" s="50" t="s">
        <v>22</v>
      </c>
      <c r="D290" s="50" t="s">
        <v>33</v>
      </c>
      <c r="E290" s="50">
        <v>47</v>
      </c>
      <c r="F290" s="50">
        <f>[1]标准人!B48*0.59</f>
        <v>1144.6</v>
      </c>
      <c r="G290" s="50">
        <f>[1]标准人!C48*0.71</f>
        <v>714.9132</v>
      </c>
      <c r="H290" s="50">
        <f>[1]标准人!D48*0.68</f>
        <v>7616</v>
      </c>
      <c r="I290" s="51">
        <v>0.4</v>
      </c>
      <c r="J290" s="51">
        <v>2</v>
      </c>
      <c r="K290" s="51">
        <v>1</v>
      </c>
      <c r="L290" s="52">
        <f t="shared" si="4"/>
        <v>52605.8298</v>
      </c>
    </row>
    <row r="291" ht="15.6" spans="1:12">
      <c r="A291" s="51">
        <v>4</v>
      </c>
      <c r="B291" s="51" t="s">
        <v>62</v>
      </c>
      <c r="C291" s="50" t="s">
        <v>22</v>
      </c>
      <c r="D291" s="50" t="s">
        <v>33</v>
      </c>
      <c r="E291" s="50">
        <v>48</v>
      </c>
      <c r="F291" s="50">
        <f>[1]标准人!B49*0.59</f>
        <v>1168.2</v>
      </c>
      <c r="G291" s="50">
        <f>[1]标准人!C49*0.71</f>
        <v>722.7374</v>
      </c>
      <c r="H291" s="50">
        <f>[1]标准人!D49*0.68</f>
        <v>7752</v>
      </c>
      <c r="I291" s="51">
        <v>0.4</v>
      </c>
      <c r="J291" s="51">
        <v>2</v>
      </c>
      <c r="K291" s="51">
        <v>1</v>
      </c>
      <c r="L291" s="52">
        <f t="shared" si="4"/>
        <v>53553.9261</v>
      </c>
    </row>
    <row r="292" ht="15.6" spans="1:12">
      <c r="A292" s="51">
        <v>4</v>
      </c>
      <c r="B292" s="51" t="s">
        <v>62</v>
      </c>
      <c r="C292" s="50" t="s">
        <v>22</v>
      </c>
      <c r="D292" s="50" t="s">
        <v>33</v>
      </c>
      <c r="E292" s="50">
        <v>49</v>
      </c>
      <c r="F292" s="50">
        <f>[1]标准人!B50*0.59</f>
        <v>1191.8</v>
      </c>
      <c r="G292" s="50">
        <f>[1]标准人!C50*0.71</f>
        <v>730.5616</v>
      </c>
      <c r="H292" s="50">
        <f>[1]标准人!D50*0.68</f>
        <v>7888</v>
      </c>
      <c r="I292" s="51">
        <v>0.4</v>
      </c>
      <c r="J292" s="51">
        <v>2</v>
      </c>
      <c r="K292" s="51">
        <v>1</v>
      </c>
      <c r="L292" s="52">
        <f t="shared" si="4"/>
        <v>54502.0224</v>
      </c>
    </row>
    <row r="293" ht="15.6" spans="1:12">
      <c r="A293" s="51">
        <v>4</v>
      </c>
      <c r="B293" s="51" t="s">
        <v>62</v>
      </c>
      <c r="C293" s="50" t="s">
        <v>22</v>
      </c>
      <c r="D293" s="50" t="s">
        <v>33</v>
      </c>
      <c r="E293" s="50">
        <v>50</v>
      </c>
      <c r="F293" s="50">
        <f>[1]标准人!B51*0.59</f>
        <v>1215.4</v>
      </c>
      <c r="G293" s="50">
        <f>[1]标准人!C51*0.71</f>
        <v>738.3858</v>
      </c>
      <c r="H293" s="50">
        <f>[1]标准人!D51*0.68</f>
        <v>8024</v>
      </c>
      <c r="I293" s="51">
        <v>0.4</v>
      </c>
      <c r="J293" s="51">
        <v>2</v>
      </c>
      <c r="K293" s="51">
        <v>1</v>
      </c>
      <c r="L293" s="52">
        <f t="shared" si="4"/>
        <v>55450.1187</v>
      </c>
    </row>
    <row r="294" ht="15.6" spans="1:12">
      <c r="A294" s="51">
        <v>4</v>
      </c>
      <c r="B294" s="51" t="s">
        <v>62</v>
      </c>
      <c r="C294" s="50" t="s">
        <v>22</v>
      </c>
      <c r="D294" s="50" t="s">
        <v>33</v>
      </c>
      <c r="E294" s="50">
        <v>51</v>
      </c>
      <c r="F294" s="50">
        <f>[1]标准人!B52*0.59</f>
        <v>1239</v>
      </c>
      <c r="G294" s="50">
        <f>[1]标准人!C52*0.71</f>
        <v>746.21</v>
      </c>
      <c r="H294" s="50">
        <f>[1]标准人!D52*0.68</f>
        <v>8160</v>
      </c>
      <c r="I294" s="51">
        <v>0.4</v>
      </c>
      <c r="J294" s="51">
        <v>2</v>
      </c>
      <c r="K294" s="51">
        <v>1</v>
      </c>
      <c r="L294" s="52">
        <f t="shared" si="4"/>
        <v>56398.215</v>
      </c>
    </row>
    <row r="295" ht="15.6" spans="1:12">
      <c r="A295" s="51">
        <v>4</v>
      </c>
      <c r="B295" s="51" t="s">
        <v>62</v>
      </c>
      <c r="C295" s="50" t="s">
        <v>22</v>
      </c>
      <c r="D295" s="50" t="s">
        <v>33</v>
      </c>
      <c r="E295" s="50">
        <v>52</v>
      </c>
      <c r="F295" s="50">
        <f>[1]标准人!B53*0.59</f>
        <v>1262.6</v>
      </c>
      <c r="G295" s="50">
        <f>[1]标准人!C53*0.71</f>
        <v>754.0342</v>
      </c>
      <c r="H295" s="50">
        <f>[1]标准人!D53*0.68</f>
        <v>8296</v>
      </c>
      <c r="I295" s="51">
        <v>0.4</v>
      </c>
      <c r="J295" s="51">
        <v>2</v>
      </c>
      <c r="K295" s="51">
        <v>1</v>
      </c>
      <c r="L295" s="52">
        <f t="shared" si="4"/>
        <v>57346.3113</v>
      </c>
    </row>
    <row r="296" ht="15.6" spans="1:12">
      <c r="A296" s="51">
        <v>4</v>
      </c>
      <c r="B296" s="51" t="s">
        <v>62</v>
      </c>
      <c r="C296" s="50" t="s">
        <v>22</v>
      </c>
      <c r="D296" s="50" t="s">
        <v>33</v>
      </c>
      <c r="E296" s="50">
        <v>53</v>
      </c>
      <c r="F296" s="50">
        <f>[1]标准人!B54*0.59</f>
        <v>1286.2</v>
      </c>
      <c r="G296" s="50">
        <f>[1]标准人!C54*0.71</f>
        <v>761.8584</v>
      </c>
      <c r="H296" s="50">
        <f>[1]标准人!D54*0.68</f>
        <v>8432</v>
      </c>
      <c r="I296" s="51">
        <v>0.4</v>
      </c>
      <c r="J296" s="51">
        <v>2</v>
      </c>
      <c r="K296" s="51">
        <v>1</v>
      </c>
      <c r="L296" s="52">
        <f t="shared" si="4"/>
        <v>58294.4076</v>
      </c>
    </row>
    <row r="297" ht="15.6" spans="1:12">
      <c r="A297" s="51">
        <v>4</v>
      </c>
      <c r="B297" s="51" t="s">
        <v>62</v>
      </c>
      <c r="C297" s="50" t="s">
        <v>22</v>
      </c>
      <c r="D297" s="50" t="s">
        <v>33</v>
      </c>
      <c r="E297" s="50">
        <v>54</v>
      </c>
      <c r="F297" s="50">
        <f>[1]标准人!B55*0.59</f>
        <v>1309.8</v>
      </c>
      <c r="G297" s="50">
        <f>[1]标准人!C55*0.71</f>
        <v>769.6826</v>
      </c>
      <c r="H297" s="50">
        <f>[1]标准人!D55*0.68</f>
        <v>8568</v>
      </c>
      <c r="I297" s="51">
        <v>0.4</v>
      </c>
      <c r="J297" s="51">
        <v>2</v>
      </c>
      <c r="K297" s="51">
        <v>1</v>
      </c>
      <c r="L297" s="52">
        <f t="shared" si="4"/>
        <v>59242.5039</v>
      </c>
    </row>
    <row r="298" ht="15.6" spans="1:12">
      <c r="A298" s="51">
        <v>4</v>
      </c>
      <c r="B298" s="51" t="s">
        <v>62</v>
      </c>
      <c r="C298" s="50" t="s">
        <v>22</v>
      </c>
      <c r="D298" s="50" t="s">
        <v>33</v>
      </c>
      <c r="E298" s="50">
        <v>55</v>
      </c>
      <c r="F298" s="50">
        <f>[1]标准人!B56*0.59</f>
        <v>1333.4</v>
      </c>
      <c r="G298" s="50">
        <f>[1]标准人!C56*0.71</f>
        <v>777.5068</v>
      </c>
      <c r="H298" s="50">
        <f>[1]标准人!D56*0.68</f>
        <v>8704</v>
      </c>
      <c r="I298" s="51">
        <v>0.4</v>
      </c>
      <c r="J298" s="51">
        <v>2</v>
      </c>
      <c r="K298" s="51">
        <v>1</v>
      </c>
      <c r="L298" s="52">
        <f t="shared" si="4"/>
        <v>60190.6002</v>
      </c>
    </row>
    <row r="299" ht="15.6" spans="1:12">
      <c r="A299" s="51">
        <v>4</v>
      </c>
      <c r="B299" s="51" t="s">
        <v>62</v>
      </c>
      <c r="C299" s="50" t="s">
        <v>22</v>
      </c>
      <c r="D299" s="50" t="s">
        <v>33</v>
      </c>
      <c r="E299" s="50">
        <v>56</v>
      </c>
      <c r="F299" s="50">
        <f>[1]标准人!B57*0.59</f>
        <v>1357</v>
      </c>
      <c r="G299" s="50">
        <f>[1]标准人!C57*0.71</f>
        <v>785.331</v>
      </c>
      <c r="H299" s="50">
        <f>[1]标准人!D57*0.68</f>
        <v>8840</v>
      </c>
      <c r="I299" s="51">
        <v>0.4</v>
      </c>
      <c r="J299" s="51">
        <v>2</v>
      </c>
      <c r="K299" s="51">
        <v>1</v>
      </c>
      <c r="L299" s="52">
        <f t="shared" si="4"/>
        <v>61138.6965</v>
      </c>
    </row>
    <row r="300" ht="15.6" spans="1:12">
      <c r="A300" s="51">
        <v>4</v>
      </c>
      <c r="B300" s="51" t="s">
        <v>62</v>
      </c>
      <c r="C300" s="50" t="s">
        <v>22</v>
      </c>
      <c r="D300" s="50" t="s">
        <v>33</v>
      </c>
      <c r="E300" s="50">
        <v>57</v>
      </c>
      <c r="F300" s="50">
        <f>[1]标准人!B58*0.59</f>
        <v>1380.6</v>
      </c>
      <c r="G300" s="50">
        <f>[1]标准人!C58*0.71</f>
        <v>793.1552</v>
      </c>
      <c r="H300" s="50">
        <f>[1]标准人!D58*0.68</f>
        <v>8976</v>
      </c>
      <c r="I300" s="51">
        <v>0.4</v>
      </c>
      <c r="J300" s="51">
        <v>2</v>
      </c>
      <c r="K300" s="51">
        <v>1</v>
      </c>
      <c r="L300" s="52">
        <f t="shared" si="4"/>
        <v>62086.7928</v>
      </c>
    </row>
    <row r="301" ht="15.6" spans="1:12">
      <c r="A301" s="51">
        <v>4</v>
      </c>
      <c r="B301" s="51" t="s">
        <v>62</v>
      </c>
      <c r="C301" s="50" t="s">
        <v>22</v>
      </c>
      <c r="D301" s="50" t="s">
        <v>33</v>
      </c>
      <c r="E301" s="50">
        <v>58</v>
      </c>
      <c r="F301" s="50">
        <f>[1]标准人!B59*0.59</f>
        <v>1404.2</v>
      </c>
      <c r="G301" s="50">
        <f>[1]标准人!C59*0.71</f>
        <v>800.9794</v>
      </c>
      <c r="H301" s="50">
        <f>[1]标准人!D59*0.68</f>
        <v>9112</v>
      </c>
      <c r="I301" s="51">
        <v>0.4</v>
      </c>
      <c r="J301" s="51">
        <v>2</v>
      </c>
      <c r="K301" s="51">
        <v>1</v>
      </c>
      <c r="L301" s="52">
        <f t="shared" si="4"/>
        <v>63034.8891</v>
      </c>
    </row>
    <row r="302" ht="15.6" spans="1:12">
      <c r="A302" s="51">
        <v>4</v>
      </c>
      <c r="B302" s="51" t="s">
        <v>62</v>
      </c>
      <c r="C302" s="50" t="s">
        <v>22</v>
      </c>
      <c r="D302" s="50" t="s">
        <v>33</v>
      </c>
      <c r="E302" s="50">
        <v>59</v>
      </c>
      <c r="F302" s="50">
        <f>[1]标准人!B60*0.59</f>
        <v>1427.8</v>
      </c>
      <c r="G302" s="50">
        <f>[1]标准人!C60*0.71</f>
        <v>808.8036</v>
      </c>
      <c r="H302" s="50">
        <f>[1]标准人!D60*0.68</f>
        <v>9248</v>
      </c>
      <c r="I302" s="51">
        <v>0.4</v>
      </c>
      <c r="J302" s="51">
        <v>2</v>
      </c>
      <c r="K302" s="51">
        <v>1</v>
      </c>
      <c r="L302" s="52">
        <f t="shared" si="4"/>
        <v>63982.9854</v>
      </c>
    </row>
    <row r="303" ht="15.6" spans="1:12">
      <c r="A303" s="51">
        <v>4</v>
      </c>
      <c r="B303" s="51" t="s">
        <v>62</v>
      </c>
      <c r="C303" s="50" t="s">
        <v>22</v>
      </c>
      <c r="D303" s="50" t="s">
        <v>33</v>
      </c>
      <c r="E303" s="50">
        <v>60</v>
      </c>
      <c r="F303" s="50">
        <f>[1]标准人!B61*0.59</f>
        <v>1451.4</v>
      </c>
      <c r="G303" s="50">
        <f>[1]标准人!C61*0.71</f>
        <v>816.6278</v>
      </c>
      <c r="H303" s="50">
        <f>[1]标准人!D61*0.68</f>
        <v>9384</v>
      </c>
      <c r="I303" s="51">
        <v>0.4</v>
      </c>
      <c r="J303" s="51">
        <v>2</v>
      </c>
      <c r="K303" s="51">
        <v>1</v>
      </c>
      <c r="L303" s="52">
        <f t="shared" si="4"/>
        <v>64931.0817</v>
      </c>
    </row>
    <row r="304" ht="15.6" spans="1:12">
      <c r="A304" s="51">
        <v>4</v>
      </c>
      <c r="B304" s="51" t="s">
        <v>62</v>
      </c>
      <c r="C304" s="50" t="s">
        <v>22</v>
      </c>
      <c r="D304" s="50" t="s">
        <v>33</v>
      </c>
      <c r="E304" s="50">
        <v>61</v>
      </c>
      <c r="F304" s="50">
        <f>[1]标准人!B62*0.59</f>
        <v>1475</v>
      </c>
      <c r="G304" s="50">
        <f>[1]标准人!C62*0.71</f>
        <v>824.452</v>
      </c>
      <c r="H304" s="50">
        <f>[1]标准人!D62*0.68</f>
        <v>9520</v>
      </c>
      <c r="I304" s="51">
        <v>0.4</v>
      </c>
      <c r="J304" s="51">
        <v>2</v>
      </c>
      <c r="K304" s="51">
        <v>1</v>
      </c>
      <c r="L304" s="52">
        <f t="shared" si="4"/>
        <v>65879.178</v>
      </c>
    </row>
    <row r="305" ht="15.6" spans="1:12">
      <c r="A305" s="51">
        <v>4</v>
      </c>
      <c r="B305" s="51" t="s">
        <v>62</v>
      </c>
      <c r="C305" s="50" t="s">
        <v>22</v>
      </c>
      <c r="D305" s="50" t="s">
        <v>33</v>
      </c>
      <c r="E305" s="50">
        <v>62</v>
      </c>
      <c r="F305" s="50">
        <f>[1]标准人!B63*0.59</f>
        <v>1498.6</v>
      </c>
      <c r="G305" s="50">
        <f>[1]标准人!C63*0.71</f>
        <v>832.2762</v>
      </c>
      <c r="H305" s="50">
        <f>[1]标准人!D63*0.68</f>
        <v>9656</v>
      </c>
      <c r="I305" s="51">
        <v>0.4</v>
      </c>
      <c r="J305" s="51">
        <v>2</v>
      </c>
      <c r="K305" s="51">
        <v>1</v>
      </c>
      <c r="L305" s="52">
        <f t="shared" si="4"/>
        <v>66827.2743</v>
      </c>
    </row>
    <row r="306" ht="15.6" spans="1:12">
      <c r="A306" s="51">
        <v>4</v>
      </c>
      <c r="B306" s="51" t="s">
        <v>62</v>
      </c>
      <c r="C306" s="50" t="s">
        <v>22</v>
      </c>
      <c r="D306" s="50" t="s">
        <v>33</v>
      </c>
      <c r="E306" s="50">
        <v>63</v>
      </c>
      <c r="F306" s="50">
        <f>[1]标准人!B64*0.59</f>
        <v>1522.2</v>
      </c>
      <c r="G306" s="50">
        <f>[1]标准人!C64*0.71</f>
        <v>840.1004</v>
      </c>
      <c r="H306" s="50">
        <f>[1]标准人!D64*0.68</f>
        <v>9792</v>
      </c>
      <c r="I306" s="51">
        <v>0.4</v>
      </c>
      <c r="J306" s="51">
        <v>2</v>
      </c>
      <c r="K306" s="51">
        <v>1</v>
      </c>
      <c r="L306" s="52">
        <f t="shared" si="4"/>
        <v>67775.3706</v>
      </c>
    </row>
    <row r="307" ht="15.6" spans="1:12">
      <c r="A307" s="51">
        <v>4</v>
      </c>
      <c r="B307" s="51" t="s">
        <v>62</v>
      </c>
      <c r="C307" s="50" t="s">
        <v>22</v>
      </c>
      <c r="D307" s="50" t="s">
        <v>33</v>
      </c>
      <c r="E307" s="50">
        <v>64</v>
      </c>
      <c r="F307" s="50">
        <f>[1]标准人!B65*0.59</f>
        <v>1545.8</v>
      </c>
      <c r="G307" s="50">
        <f>[1]标准人!C65*0.71</f>
        <v>847.9246</v>
      </c>
      <c r="H307" s="50">
        <f>[1]标准人!D65*0.68</f>
        <v>9928</v>
      </c>
      <c r="I307" s="51">
        <v>0.4</v>
      </c>
      <c r="J307" s="51">
        <v>2</v>
      </c>
      <c r="K307" s="51">
        <v>1</v>
      </c>
      <c r="L307" s="52">
        <f t="shared" si="4"/>
        <v>68723.4669</v>
      </c>
    </row>
    <row r="308" ht="15.6" spans="1:12">
      <c r="A308" s="51">
        <v>4</v>
      </c>
      <c r="B308" s="51" t="s">
        <v>62</v>
      </c>
      <c r="C308" s="50" t="s">
        <v>22</v>
      </c>
      <c r="D308" s="50" t="s">
        <v>33</v>
      </c>
      <c r="E308" s="50">
        <v>65</v>
      </c>
      <c r="F308" s="50">
        <f>[1]标准人!B66*0.59</f>
        <v>1569.4</v>
      </c>
      <c r="G308" s="50">
        <f>[1]标准人!C66*0.71</f>
        <v>855.7488</v>
      </c>
      <c r="H308" s="50">
        <f>[1]标准人!D66*0.68</f>
        <v>10064</v>
      </c>
      <c r="I308" s="51">
        <v>0.4</v>
      </c>
      <c r="J308" s="51">
        <v>2</v>
      </c>
      <c r="K308" s="51">
        <v>1</v>
      </c>
      <c r="L308" s="52">
        <f t="shared" si="4"/>
        <v>69671.5632</v>
      </c>
    </row>
    <row r="309" ht="15.6" spans="1:12">
      <c r="A309" s="51">
        <v>4</v>
      </c>
      <c r="B309" s="51" t="s">
        <v>62</v>
      </c>
      <c r="C309" s="50" t="s">
        <v>22</v>
      </c>
      <c r="D309" s="50" t="s">
        <v>33</v>
      </c>
      <c r="E309" s="50">
        <v>66</v>
      </c>
      <c r="F309" s="50">
        <f>[1]标准人!B67*0.59</f>
        <v>1593</v>
      </c>
      <c r="G309" s="50">
        <f>[1]标准人!C67*0.71</f>
        <v>863.573</v>
      </c>
      <c r="H309" s="50">
        <f>[1]标准人!D67*0.68</f>
        <v>10200</v>
      </c>
      <c r="I309" s="51">
        <v>0.4</v>
      </c>
      <c r="J309" s="51">
        <v>2</v>
      </c>
      <c r="K309" s="51">
        <v>1</v>
      </c>
      <c r="L309" s="52">
        <f t="shared" si="4"/>
        <v>70619.6595</v>
      </c>
    </row>
    <row r="310" ht="15.6" spans="1:12">
      <c r="A310" s="51">
        <v>4</v>
      </c>
      <c r="B310" s="51" t="s">
        <v>62</v>
      </c>
      <c r="C310" s="50" t="s">
        <v>22</v>
      </c>
      <c r="D310" s="50" t="s">
        <v>33</v>
      </c>
      <c r="E310" s="50">
        <v>67</v>
      </c>
      <c r="F310" s="50">
        <f>[1]标准人!B68*0.59</f>
        <v>1616.6</v>
      </c>
      <c r="G310" s="50">
        <f>[1]标准人!C68*0.71</f>
        <v>871.3972</v>
      </c>
      <c r="H310" s="50">
        <f>[1]标准人!D68*0.68</f>
        <v>10336</v>
      </c>
      <c r="I310" s="51">
        <v>0.4</v>
      </c>
      <c r="J310" s="51">
        <v>2</v>
      </c>
      <c r="K310" s="51">
        <v>1</v>
      </c>
      <c r="L310" s="52">
        <f t="shared" si="4"/>
        <v>71567.7558</v>
      </c>
    </row>
    <row r="311" ht="15.6" spans="1:12">
      <c r="A311" s="51">
        <v>4</v>
      </c>
      <c r="B311" s="51" t="s">
        <v>62</v>
      </c>
      <c r="C311" s="50" t="s">
        <v>22</v>
      </c>
      <c r="D311" s="50" t="s">
        <v>33</v>
      </c>
      <c r="E311" s="50">
        <v>68</v>
      </c>
      <c r="F311" s="50">
        <f>[1]标准人!B69*0.59</f>
        <v>1640.2</v>
      </c>
      <c r="G311" s="50">
        <f>[1]标准人!C69*0.71</f>
        <v>879.2214</v>
      </c>
      <c r="H311" s="50">
        <f>[1]标准人!D69*0.68</f>
        <v>10472</v>
      </c>
      <c r="I311" s="51">
        <v>0.4</v>
      </c>
      <c r="J311" s="51">
        <v>2</v>
      </c>
      <c r="K311" s="51">
        <v>1</v>
      </c>
      <c r="L311" s="52">
        <f t="shared" si="4"/>
        <v>72515.8521</v>
      </c>
    </row>
    <row r="312" ht="15.6" spans="1:12">
      <c r="A312" s="51">
        <v>4</v>
      </c>
      <c r="B312" s="51" t="s">
        <v>62</v>
      </c>
      <c r="C312" s="50" t="s">
        <v>22</v>
      </c>
      <c r="D312" s="50" t="s">
        <v>33</v>
      </c>
      <c r="E312" s="50">
        <v>69</v>
      </c>
      <c r="F312" s="50">
        <f>[1]标准人!B70*0.59</f>
        <v>1663.8</v>
      </c>
      <c r="G312" s="50">
        <f>[1]标准人!C70*0.71</f>
        <v>887.0456</v>
      </c>
      <c r="H312" s="50">
        <f>[1]标准人!D70*0.68</f>
        <v>10608</v>
      </c>
      <c r="I312" s="51">
        <v>0.4</v>
      </c>
      <c r="J312" s="51">
        <v>2</v>
      </c>
      <c r="K312" s="51">
        <v>1</v>
      </c>
      <c r="L312" s="52">
        <f t="shared" si="4"/>
        <v>73463.9484</v>
      </c>
    </row>
    <row r="313" ht="15.6" spans="1:12">
      <c r="A313" s="51">
        <v>4</v>
      </c>
      <c r="B313" s="51" t="s">
        <v>62</v>
      </c>
      <c r="C313" s="50" t="s">
        <v>22</v>
      </c>
      <c r="D313" s="50" t="s">
        <v>33</v>
      </c>
      <c r="E313" s="50">
        <v>70</v>
      </c>
      <c r="F313" s="50">
        <f>[1]标准人!B71*0.59</f>
        <v>1687.4</v>
      </c>
      <c r="G313" s="50">
        <f>[1]标准人!C71*0.71</f>
        <v>894.8698</v>
      </c>
      <c r="H313" s="50">
        <f>[1]标准人!D71*0.68</f>
        <v>10744</v>
      </c>
      <c r="I313" s="51">
        <v>0.4</v>
      </c>
      <c r="J313" s="51">
        <v>2</v>
      </c>
      <c r="K313" s="51">
        <v>1</v>
      </c>
      <c r="L313" s="52">
        <f t="shared" si="4"/>
        <v>74412.0447</v>
      </c>
    </row>
    <row r="314" ht="15.6" spans="1:12">
      <c r="A314" s="51">
        <v>4</v>
      </c>
      <c r="B314" s="51" t="s">
        <v>62</v>
      </c>
      <c r="C314" s="50" t="s">
        <v>22</v>
      </c>
      <c r="D314" s="50" t="s">
        <v>33</v>
      </c>
      <c r="E314" s="50">
        <v>71</v>
      </c>
      <c r="F314" s="50">
        <f>[1]标准人!B72*0.59</f>
        <v>1711</v>
      </c>
      <c r="G314" s="50">
        <f>[1]标准人!C72*0.71</f>
        <v>902.694</v>
      </c>
      <c r="H314" s="50">
        <f>[1]标准人!D72*0.68</f>
        <v>10880</v>
      </c>
      <c r="I314" s="51">
        <v>0.4</v>
      </c>
      <c r="J314" s="51">
        <v>2</v>
      </c>
      <c r="K314" s="51">
        <v>1</v>
      </c>
      <c r="L314" s="52">
        <f t="shared" si="4"/>
        <v>75360.141</v>
      </c>
    </row>
    <row r="315" ht="15.6" spans="1:12">
      <c r="A315" s="51">
        <v>4</v>
      </c>
      <c r="B315" s="51" t="s">
        <v>62</v>
      </c>
      <c r="C315" s="50" t="s">
        <v>22</v>
      </c>
      <c r="D315" s="50" t="s">
        <v>33</v>
      </c>
      <c r="E315" s="50">
        <v>72</v>
      </c>
      <c r="F315" s="50">
        <f>[1]标准人!B73*0.59</f>
        <v>1734.6</v>
      </c>
      <c r="G315" s="50">
        <f>[1]标准人!C73*0.71</f>
        <v>910.5182</v>
      </c>
      <c r="H315" s="50">
        <f>[1]标准人!D73*0.68</f>
        <v>11016</v>
      </c>
      <c r="I315" s="51">
        <v>0.4</v>
      </c>
      <c r="J315" s="51">
        <v>2</v>
      </c>
      <c r="K315" s="51">
        <v>1</v>
      </c>
      <c r="L315" s="52">
        <f t="shared" si="4"/>
        <v>76308.2373</v>
      </c>
    </row>
    <row r="316" ht="15.6" spans="1:12">
      <c r="A316" s="51">
        <v>4</v>
      </c>
      <c r="B316" s="51" t="s">
        <v>62</v>
      </c>
      <c r="C316" s="50" t="s">
        <v>22</v>
      </c>
      <c r="D316" s="50" t="s">
        <v>33</v>
      </c>
      <c r="E316" s="50">
        <v>73</v>
      </c>
      <c r="F316" s="50">
        <f>[1]标准人!B74*0.59</f>
        <v>1758.2</v>
      </c>
      <c r="G316" s="50">
        <f>[1]标准人!C74*0.71</f>
        <v>918.3424</v>
      </c>
      <c r="H316" s="50">
        <f>[1]标准人!D74*0.68</f>
        <v>11152</v>
      </c>
      <c r="I316" s="51">
        <v>0.4</v>
      </c>
      <c r="J316" s="51">
        <v>2</v>
      </c>
      <c r="K316" s="51">
        <v>1</v>
      </c>
      <c r="L316" s="52">
        <f t="shared" si="4"/>
        <v>77256.3336</v>
      </c>
    </row>
    <row r="317" ht="15.6" spans="1:12">
      <c r="A317" s="51">
        <v>4</v>
      </c>
      <c r="B317" s="51" t="s">
        <v>62</v>
      </c>
      <c r="C317" s="50" t="s">
        <v>22</v>
      </c>
      <c r="D317" s="50" t="s">
        <v>33</v>
      </c>
      <c r="E317" s="50">
        <v>74</v>
      </c>
      <c r="F317" s="50">
        <f>[1]标准人!B75*0.59</f>
        <v>1781.8</v>
      </c>
      <c r="G317" s="50">
        <f>[1]标准人!C75*0.71</f>
        <v>926.1666</v>
      </c>
      <c r="H317" s="50">
        <f>[1]标准人!D75*0.68</f>
        <v>11288</v>
      </c>
      <c r="I317" s="51">
        <v>0.4</v>
      </c>
      <c r="J317" s="51">
        <v>2</v>
      </c>
      <c r="K317" s="51">
        <v>1</v>
      </c>
      <c r="L317" s="52">
        <f t="shared" si="4"/>
        <v>78204.4299</v>
      </c>
    </row>
    <row r="318" ht="15.6" spans="1:12">
      <c r="A318" s="51">
        <v>4</v>
      </c>
      <c r="B318" s="51" t="s">
        <v>62</v>
      </c>
      <c r="C318" s="50" t="s">
        <v>22</v>
      </c>
      <c r="D318" s="50" t="s">
        <v>33</v>
      </c>
      <c r="E318" s="50">
        <v>75</v>
      </c>
      <c r="F318" s="50">
        <f>[1]标准人!B76*0.59</f>
        <v>1805.4</v>
      </c>
      <c r="G318" s="50">
        <f>[1]标准人!C76*0.71</f>
        <v>933.9908</v>
      </c>
      <c r="H318" s="50">
        <f>[1]标准人!D76*0.68</f>
        <v>11424</v>
      </c>
      <c r="I318" s="51">
        <v>0.4</v>
      </c>
      <c r="J318" s="51">
        <v>2</v>
      </c>
      <c r="K318" s="51">
        <v>1</v>
      </c>
      <c r="L318" s="52">
        <f t="shared" si="4"/>
        <v>79152.5262</v>
      </c>
    </row>
    <row r="319" ht="15.6" spans="1:12">
      <c r="A319" s="51">
        <v>4</v>
      </c>
      <c r="B319" s="51" t="s">
        <v>62</v>
      </c>
      <c r="C319" s="50" t="s">
        <v>22</v>
      </c>
      <c r="D319" s="50" t="s">
        <v>33</v>
      </c>
      <c r="E319" s="50">
        <v>76</v>
      </c>
      <c r="F319" s="50">
        <f>[1]标准人!B77*0.59</f>
        <v>1829</v>
      </c>
      <c r="G319" s="50">
        <f>[1]标准人!C77*0.71</f>
        <v>941.815</v>
      </c>
      <c r="H319" s="50">
        <f>[1]标准人!D77*0.68</f>
        <v>11560</v>
      </c>
      <c r="I319" s="51">
        <v>0.4</v>
      </c>
      <c r="J319" s="51">
        <v>2</v>
      </c>
      <c r="K319" s="51">
        <v>1</v>
      </c>
      <c r="L319" s="52">
        <f t="shared" si="4"/>
        <v>80100.6225</v>
      </c>
    </row>
    <row r="320" ht="15.6" spans="1:12">
      <c r="A320" s="51">
        <v>4</v>
      </c>
      <c r="B320" s="51" t="s">
        <v>62</v>
      </c>
      <c r="C320" s="50" t="s">
        <v>22</v>
      </c>
      <c r="D320" s="50" t="s">
        <v>33</v>
      </c>
      <c r="E320" s="50">
        <v>77</v>
      </c>
      <c r="F320" s="50">
        <f>[1]标准人!B78*0.59</f>
        <v>1852.6</v>
      </c>
      <c r="G320" s="50">
        <f>[1]标准人!C78*0.71</f>
        <v>949.6392</v>
      </c>
      <c r="H320" s="50">
        <f>[1]标准人!D78*0.68</f>
        <v>11696</v>
      </c>
      <c r="I320" s="51">
        <v>0.4</v>
      </c>
      <c r="J320" s="51">
        <v>2</v>
      </c>
      <c r="K320" s="51">
        <v>1</v>
      </c>
      <c r="L320" s="52">
        <f t="shared" si="4"/>
        <v>81048.7188</v>
      </c>
    </row>
    <row r="321" ht="15.6" spans="1:12">
      <c r="A321" s="51">
        <v>4</v>
      </c>
      <c r="B321" s="51" t="s">
        <v>62</v>
      </c>
      <c r="C321" s="50" t="s">
        <v>22</v>
      </c>
      <c r="D321" s="50" t="s">
        <v>33</v>
      </c>
      <c r="E321" s="50">
        <v>78</v>
      </c>
      <c r="F321" s="50">
        <f>[1]标准人!B79*0.59</f>
        <v>1876.2</v>
      </c>
      <c r="G321" s="50">
        <f>[1]标准人!C79*0.71</f>
        <v>957.4634</v>
      </c>
      <c r="H321" s="50">
        <f>[1]标准人!D79*0.68</f>
        <v>11832</v>
      </c>
      <c r="I321" s="51">
        <v>0.4</v>
      </c>
      <c r="J321" s="51">
        <v>2</v>
      </c>
      <c r="K321" s="51">
        <v>1</v>
      </c>
      <c r="L321" s="52">
        <f t="shared" si="4"/>
        <v>81996.8151</v>
      </c>
    </row>
    <row r="322" ht="15.6" spans="1:12">
      <c r="A322" s="51">
        <v>4</v>
      </c>
      <c r="B322" s="51" t="s">
        <v>62</v>
      </c>
      <c r="C322" s="50" t="s">
        <v>22</v>
      </c>
      <c r="D322" s="50" t="s">
        <v>33</v>
      </c>
      <c r="E322" s="50">
        <v>79</v>
      </c>
      <c r="F322" s="50">
        <f>[1]标准人!B80*0.59</f>
        <v>1899.8</v>
      </c>
      <c r="G322" s="50">
        <f>[1]标准人!C80*0.71</f>
        <v>965.2876</v>
      </c>
      <c r="H322" s="50">
        <f>[1]标准人!D80*0.68</f>
        <v>11968</v>
      </c>
      <c r="I322" s="51">
        <v>0.4</v>
      </c>
      <c r="J322" s="51">
        <v>2</v>
      </c>
      <c r="K322" s="51">
        <v>1</v>
      </c>
      <c r="L322" s="52">
        <f t="shared" si="4"/>
        <v>82944.9114</v>
      </c>
    </row>
    <row r="323" ht="15.6" spans="1:12">
      <c r="A323" s="51">
        <v>4</v>
      </c>
      <c r="B323" s="51" t="s">
        <v>62</v>
      </c>
      <c r="C323" s="50" t="s">
        <v>22</v>
      </c>
      <c r="D323" s="50" t="s">
        <v>33</v>
      </c>
      <c r="E323" s="50">
        <v>80</v>
      </c>
      <c r="F323" s="50">
        <f>[1]标准人!B81*0.59</f>
        <v>1923.4</v>
      </c>
      <c r="G323" s="50">
        <f>[1]标准人!C81*0.71</f>
        <v>973.1118</v>
      </c>
      <c r="H323" s="50">
        <f>[1]标准人!D81*0.68</f>
        <v>12104</v>
      </c>
      <c r="I323" s="51">
        <v>0.4</v>
      </c>
      <c r="J323" s="51">
        <v>2</v>
      </c>
      <c r="K323" s="51">
        <v>1</v>
      </c>
      <c r="L323" s="52">
        <f t="shared" si="4"/>
        <v>83893.0077</v>
      </c>
    </row>
    <row r="324" ht="15.6" spans="1:12">
      <c r="A324" s="51">
        <v>5</v>
      </c>
      <c r="B324" s="51" t="s">
        <v>63</v>
      </c>
      <c r="C324" s="50" t="s">
        <v>22</v>
      </c>
      <c r="D324" s="51" t="s">
        <v>60</v>
      </c>
      <c r="E324" s="50">
        <v>1</v>
      </c>
      <c r="F324" s="50">
        <f>[1]标准人!B2*0.45</f>
        <v>45</v>
      </c>
      <c r="G324" s="50">
        <f>[1]标准人!C2*0.71</f>
        <v>355</v>
      </c>
      <c r="H324" s="52">
        <f>[1]标准人!D2*1.04</f>
        <v>2080</v>
      </c>
      <c r="I324" s="51">
        <v>0.4</v>
      </c>
      <c r="J324" s="51">
        <v>2</v>
      </c>
      <c r="K324" s="51">
        <v>1</v>
      </c>
      <c r="L324" s="52">
        <f t="shared" ref="L324:L387" si="5">IF(D324="SNIP",((F324*0.4+G324*0.01+H324*1)*10.3),IF(D324="DPS",(F324*0.17+G324*0.05+H324*0.2)*30,(F324*0.1+G324*0.2+H324*1)*10/2.1))</f>
        <v>10264.2857142857</v>
      </c>
    </row>
    <row r="325" ht="15.6" spans="1:12">
      <c r="A325" s="51">
        <v>5</v>
      </c>
      <c r="B325" s="51" t="s">
        <v>63</v>
      </c>
      <c r="C325" s="50" t="s">
        <v>22</v>
      </c>
      <c r="D325" s="51" t="s">
        <v>60</v>
      </c>
      <c r="E325" s="50">
        <v>2</v>
      </c>
      <c r="F325" s="50">
        <f>[1]标准人!B3*0.45</f>
        <v>63</v>
      </c>
      <c r="G325" s="50">
        <f>[1]标准人!C3*0.71</f>
        <v>362.8242</v>
      </c>
      <c r="H325" s="52">
        <f>[1]标准人!D3*1.04</f>
        <v>2288</v>
      </c>
      <c r="I325" s="51">
        <v>0.4</v>
      </c>
      <c r="J325" s="51">
        <v>2</v>
      </c>
      <c r="K325" s="51">
        <v>1</v>
      </c>
      <c r="L325" s="52">
        <f t="shared" si="5"/>
        <v>11270.784952381</v>
      </c>
    </row>
    <row r="326" ht="15.6" spans="1:12">
      <c r="A326" s="51">
        <v>5</v>
      </c>
      <c r="B326" s="51" t="s">
        <v>63</v>
      </c>
      <c r="C326" s="50" t="s">
        <v>22</v>
      </c>
      <c r="D326" s="51" t="s">
        <v>60</v>
      </c>
      <c r="E326" s="50">
        <v>3</v>
      </c>
      <c r="F326" s="50">
        <f>[1]标准人!B4*0.45</f>
        <v>81</v>
      </c>
      <c r="G326" s="50">
        <f>[1]标准人!C4*0.71</f>
        <v>370.6484</v>
      </c>
      <c r="H326" s="52">
        <f>[1]标准人!D4*1.04</f>
        <v>2496</v>
      </c>
      <c r="I326" s="51">
        <v>0.4</v>
      </c>
      <c r="J326" s="51">
        <v>2</v>
      </c>
      <c r="K326" s="51">
        <v>1</v>
      </c>
      <c r="L326" s="52">
        <f t="shared" si="5"/>
        <v>12277.2841904762</v>
      </c>
    </row>
    <row r="327" ht="15.6" spans="1:12">
      <c r="A327" s="51">
        <v>5</v>
      </c>
      <c r="B327" s="51" t="s">
        <v>63</v>
      </c>
      <c r="C327" s="50" t="s">
        <v>22</v>
      </c>
      <c r="D327" s="51" t="s">
        <v>60</v>
      </c>
      <c r="E327" s="50">
        <v>4</v>
      </c>
      <c r="F327" s="50">
        <f>[1]标准人!B5*0.45</f>
        <v>99</v>
      </c>
      <c r="G327" s="50">
        <f>[1]标准人!C5*0.71</f>
        <v>378.4726</v>
      </c>
      <c r="H327" s="52">
        <f>[1]标准人!D5*1.04</f>
        <v>2704</v>
      </c>
      <c r="I327" s="51">
        <v>0.4</v>
      </c>
      <c r="J327" s="51">
        <v>2</v>
      </c>
      <c r="K327" s="51">
        <v>1</v>
      </c>
      <c r="L327" s="52">
        <f t="shared" si="5"/>
        <v>13283.7834285714</v>
      </c>
    </row>
    <row r="328" ht="15.6" spans="1:12">
      <c r="A328" s="51">
        <v>5</v>
      </c>
      <c r="B328" s="51" t="s">
        <v>63</v>
      </c>
      <c r="C328" s="50" t="s">
        <v>22</v>
      </c>
      <c r="D328" s="51" t="s">
        <v>60</v>
      </c>
      <c r="E328" s="50">
        <v>5</v>
      </c>
      <c r="F328" s="50">
        <f>[1]标准人!B6*0.45</f>
        <v>117</v>
      </c>
      <c r="G328" s="50">
        <f>[1]标准人!C6*0.71</f>
        <v>386.2968</v>
      </c>
      <c r="H328" s="52">
        <f>[1]标准人!D6*1.04</f>
        <v>2912</v>
      </c>
      <c r="I328" s="51">
        <v>0.4</v>
      </c>
      <c r="J328" s="51">
        <v>2</v>
      </c>
      <c r="K328" s="51">
        <v>1</v>
      </c>
      <c r="L328" s="52">
        <f t="shared" si="5"/>
        <v>14290.2826666667</v>
      </c>
    </row>
    <row r="329" ht="15.6" spans="1:12">
      <c r="A329" s="51">
        <v>5</v>
      </c>
      <c r="B329" s="51" t="s">
        <v>63</v>
      </c>
      <c r="C329" s="50" t="s">
        <v>22</v>
      </c>
      <c r="D329" s="51" t="s">
        <v>60</v>
      </c>
      <c r="E329" s="50">
        <v>6</v>
      </c>
      <c r="F329" s="50">
        <f>[1]标准人!B7*0.45</f>
        <v>135</v>
      </c>
      <c r="G329" s="50">
        <f>[1]标准人!C7*0.71</f>
        <v>394.121</v>
      </c>
      <c r="H329" s="52">
        <f>[1]标准人!D7*1.04</f>
        <v>3120</v>
      </c>
      <c r="I329" s="51">
        <v>0.4</v>
      </c>
      <c r="J329" s="51">
        <v>2</v>
      </c>
      <c r="K329" s="51">
        <v>1</v>
      </c>
      <c r="L329" s="52">
        <f t="shared" si="5"/>
        <v>15296.7819047619</v>
      </c>
    </row>
    <row r="330" ht="15.6" spans="1:12">
      <c r="A330" s="51">
        <v>5</v>
      </c>
      <c r="B330" s="51" t="s">
        <v>63</v>
      </c>
      <c r="C330" s="50" t="s">
        <v>22</v>
      </c>
      <c r="D330" s="51" t="s">
        <v>60</v>
      </c>
      <c r="E330" s="50">
        <v>7</v>
      </c>
      <c r="F330" s="50">
        <f>[1]标准人!B8*0.45</f>
        <v>153</v>
      </c>
      <c r="G330" s="50">
        <f>[1]标准人!C8*0.71</f>
        <v>401.9452</v>
      </c>
      <c r="H330" s="52">
        <f>[1]标准人!D8*1.04</f>
        <v>3328</v>
      </c>
      <c r="I330" s="51">
        <v>0.4</v>
      </c>
      <c r="J330" s="51">
        <v>2</v>
      </c>
      <c r="K330" s="51">
        <v>1</v>
      </c>
      <c r="L330" s="52">
        <f t="shared" si="5"/>
        <v>16303.2811428571</v>
      </c>
    </row>
    <row r="331" ht="15.6" spans="1:12">
      <c r="A331" s="51">
        <v>5</v>
      </c>
      <c r="B331" s="51" t="s">
        <v>63</v>
      </c>
      <c r="C331" s="50" t="s">
        <v>22</v>
      </c>
      <c r="D331" s="51" t="s">
        <v>60</v>
      </c>
      <c r="E331" s="50">
        <v>8</v>
      </c>
      <c r="F331" s="50">
        <f>[1]标准人!B9*0.45</f>
        <v>171</v>
      </c>
      <c r="G331" s="50">
        <f>[1]标准人!C9*0.71</f>
        <v>409.7694</v>
      </c>
      <c r="H331" s="52">
        <f>[1]标准人!D9*1.04</f>
        <v>3536</v>
      </c>
      <c r="I331" s="51">
        <v>0.4</v>
      </c>
      <c r="J331" s="51">
        <v>2</v>
      </c>
      <c r="K331" s="51">
        <v>1</v>
      </c>
      <c r="L331" s="52">
        <f t="shared" si="5"/>
        <v>17309.7803809524</v>
      </c>
    </row>
    <row r="332" ht="15.6" spans="1:12">
      <c r="A332" s="51">
        <v>5</v>
      </c>
      <c r="B332" s="51" t="s">
        <v>63</v>
      </c>
      <c r="C332" s="50" t="s">
        <v>22</v>
      </c>
      <c r="D332" s="51" t="s">
        <v>60</v>
      </c>
      <c r="E332" s="50">
        <v>9</v>
      </c>
      <c r="F332" s="50">
        <f>[1]标准人!B10*0.45</f>
        <v>189</v>
      </c>
      <c r="G332" s="50">
        <f>[1]标准人!C10*0.71</f>
        <v>417.5936</v>
      </c>
      <c r="H332" s="52">
        <f>[1]标准人!D10*1.04</f>
        <v>3744</v>
      </c>
      <c r="I332" s="51">
        <v>0.4</v>
      </c>
      <c r="J332" s="51">
        <v>2</v>
      </c>
      <c r="K332" s="51">
        <v>1</v>
      </c>
      <c r="L332" s="52">
        <f t="shared" si="5"/>
        <v>18316.2796190476</v>
      </c>
    </row>
    <row r="333" ht="15.6" spans="1:12">
      <c r="A333" s="51">
        <v>5</v>
      </c>
      <c r="B333" s="51" t="s">
        <v>63</v>
      </c>
      <c r="C333" s="50" t="s">
        <v>22</v>
      </c>
      <c r="D333" s="51" t="s">
        <v>60</v>
      </c>
      <c r="E333" s="50">
        <v>10</v>
      </c>
      <c r="F333" s="50">
        <f>[1]标准人!B11*0.45</f>
        <v>207</v>
      </c>
      <c r="G333" s="50">
        <f>[1]标准人!C11*0.71</f>
        <v>425.4178</v>
      </c>
      <c r="H333" s="52">
        <f>[1]标准人!D11*1.04</f>
        <v>3952</v>
      </c>
      <c r="I333" s="51">
        <v>0.4</v>
      </c>
      <c r="J333" s="51">
        <v>2</v>
      </c>
      <c r="K333" s="51">
        <v>1</v>
      </c>
      <c r="L333" s="52">
        <f t="shared" si="5"/>
        <v>19322.7788571429</v>
      </c>
    </row>
    <row r="334" ht="15.6" spans="1:12">
      <c r="A334" s="51">
        <v>5</v>
      </c>
      <c r="B334" s="51" t="s">
        <v>63</v>
      </c>
      <c r="C334" s="50" t="s">
        <v>22</v>
      </c>
      <c r="D334" s="51" t="s">
        <v>60</v>
      </c>
      <c r="E334" s="50">
        <v>11</v>
      </c>
      <c r="F334" s="50">
        <f>[1]标准人!B12*0.45</f>
        <v>225</v>
      </c>
      <c r="G334" s="50">
        <f>[1]标准人!C12*0.71</f>
        <v>433.242</v>
      </c>
      <c r="H334" s="52">
        <f>[1]标准人!D12*1.04</f>
        <v>4160</v>
      </c>
      <c r="I334" s="51">
        <v>0.4</v>
      </c>
      <c r="J334" s="51">
        <v>2</v>
      </c>
      <c r="K334" s="51">
        <v>1</v>
      </c>
      <c r="L334" s="52">
        <f t="shared" si="5"/>
        <v>20329.2780952381</v>
      </c>
    </row>
    <row r="335" ht="15.6" spans="1:12">
      <c r="A335" s="51">
        <v>5</v>
      </c>
      <c r="B335" s="51" t="s">
        <v>63</v>
      </c>
      <c r="C335" s="50" t="s">
        <v>22</v>
      </c>
      <c r="D335" s="51" t="s">
        <v>60</v>
      </c>
      <c r="E335" s="50">
        <v>12</v>
      </c>
      <c r="F335" s="50">
        <f>[1]标准人!B13*0.45</f>
        <v>243</v>
      </c>
      <c r="G335" s="50">
        <f>[1]标准人!C13*0.71</f>
        <v>441.0662</v>
      </c>
      <c r="H335" s="52">
        <f>[1]标准人!D13*1.04</f>
        <v>4368</v>
      </c>
      <c r="I335" s="51">
        <v>0.4</v>
      </c>
      <c r="J335" s="51">
        <v>2</v>
      </c>
      <c r="K335" s="51">
        <v>1</v>
      </c>
      <c r="L335" s="52">
        <f t="shared" si="5"/>
        <v>21335.7773333333</v>
      </c>
    </row>
    <row r="336" ht="15.6" spans="1:12">
      <c r="A336" s="51">
        <v>5</v>
      </c>
      <c r="B336" s="51" t="s">
        <v>63</v>
      </c>
      <c r="C336" s="50" t="s">
        <v>22</v>
      </c>
      <c r="D336" s="51" t="s">
        <v>60</v>
      </c>
      <c r="E336" s="50">
        <v>13</v>
      </c>
      <c r="F336" s="50">
        <f>[1]标准人!B14*0.45</f>
        <v>261</v>
      </c>
      <c r="G336" s="50">
        <f>[1]标准人!C14*0.71</f>
        <v>448.8904</v>
      </c>
      <c r="H336" s="52">
        <f>[1]标准人!D14*1.04</f>
        <v>4576</v>
      </c>
      <c r="I336" s="51">
        <v>0.4</v>
      </c>
      <c r="J336" s="51">
        <v>2</v>
      </c>
      <c r="K336" s="51">
        <v>1</v>
      </c>
      <c r="L336" s="52">
        <f t="shared" si="5"/>
        <v>22342.2765714286</v>
      </c>
    </row>
    <row r="337" ht="15.6" spans="1:12">
      <c r="A337" s="51">
        <v>5</v>
      </c>
      <c r="B337" s="51" t="s">
        <v>63</v>
      </c>
      <c r="C337" s="50" t="s">
        <v>22</v>
      </c>
      <c r="D337" s="51" t="s">
        <v>60</v>
      </c>
      <c r="E337" s="50">
        <v>14</v>
      </c>
      <c r="F337" s="50">
        <f>[1]标准人!B15*0.45</f>
        <v>279</v>
      </c>
      <c r="G337" s="50">
        <f>[1]标准人!C15*0.71</f>
        <v>456.7146</v>
      </c>
      <c r="H337" s="52">
        <f>[1]标准人!D15*1.04</f>
        <v>4784</v>
      </c>
      <c r="I337" s="51">
        <v>0.4</v>
      </c>
      <c r="J337" s="51">
        <v>2</v>
      </c>
      <c r="K337" s="51">
        <v>1</v>
      </c>
      <c r="L337" s="52">
        <f t="shared" si="5"/>
        <v>23348.7758095238</v>
      </c>
    </row>
    <row r="338" ht="15.6" spans="1:12">
      <c r="A338" s="51">
        <v>5</v>
      </c>
      <c r="B338" s="51" t="s">
        <v>63</v>
      </c>
      <c r="C338" s="50" t="s">
        <v>22</v>
      </c>
      <c r="D338" s="51" t="s">
        <v>60</v>
      </c>
      <c r="E338" s="50">
        <v>15</v>
      </c>
      <c r="F338" s="50">
        <f>[1]标准人!B16*0.45</f>
        <v>297</v>
      </c>
      <c r="G338" s="50">
        <f>[1]标准人!C16*0.71</f>
        <v>464.5388</v>
      </c>
      <c r="H338" s="52">
        <f>[1]标准人!D16*1.04</f>
        <v>4992</v>
      </c>
      <c r="I338" s="51">
        <v>0.4</v>
      </c>
      <c r="J338" s="51">
        <v>2</v>
      </c>
      <c r="K338" s="51">
        <v>1</v>
      </c>
      <c r="L338" s="52">
        <f t="shared" si="5"/>
        <v>24355.275047619</v>
      </c>
    </row>
    <row r="339" ht="15.6" spans="1:12">
      <c r="A339" s="51">
        <v>5</v>
      </c>
      <c r="B339" s="51" t="s">
        <v>63</v>
      </c>
      <c r="C339" s="50" t="s">
        <v>22</v>
      </c>
      <c r="D339" s="51" t="s">
        <v>60</v>
      </c>
      <c r="E339" s="50">
        <v>16</v>
      </c>
      <c r="F339" s="50">
        <f>[1]标准人!B17*0.45</f>
        <v>315</v>
      </c>
      <c r="G339" s="50">
        <f>[1]标准人!C17*0.71</f>
        <v>472.363</v>
      </c>
      <c r="H339" s="52">
        <f>[1]标准人!D17*1.04</f>
        <v>5200</v>
      </c>
      <c r="I339" s="51">
        <v>0.4</v>
      </c>
      <c r="J339" s="51">
        <v>2</v>
      </c>
      <c r="K339" s="51">
        <v>1</v>
      </c>
      <c r="L339" s="52">
        <f t="shared" si="5"/>
        <v>25361.7742857143</v>
      </c>
    </row>
    <row r="340" ht="15.6" spans="1:12">
      <c r="A340" s="51">
        <v>5</v>
      </c>
      <c r="B340" s="51" t="s">
        <v>63</v>
      </c>
      <c r="C340" s="50" t="s">
        <v>22</v>
      </c>
      <c r="D340" s="51" t="s">
        <v>60</v>
      </c>
      <c r="E340" s="50">
        <v>17</v>
      </c>
      <c r="F340" s="50">
        <f>[1]标准人!B18*0.45</f>
        <v>333</v>
      </c>
      <c r="G340" s="50">
        <f>[1]标准人!C18*0.71</f>
        <v>480.1872</v>
      </c>
      <c r="H340" s="52">
        <f>[1]标准人!D18*1.04</f>
        <v>5408</v>
      </c>
      <c r="I340" s="51">
        <v>0.4</v>
      </c>
      <c r="J340" s="51">
        <v>2</v>
      </c>
      <c r="K340" s="51">
        <v>1</v>
      </c>
      <c r="L340" s="52">
        <f t="shared" si="5"/>
        <v>26368.2735238095</v>
      </c>
    </row>
    <row r="341" ht="15.6" spans="1:12">
      <c r="A341" s="51">
        <v>5</v>
      </c>
      <c r="B341" s="51" t="s">
        <v>63</v>
      </c>
      <c r="C341" s="50" t="s">
        <v>22</v>
      </c>
      <c r="D341" s="51" t="s">
        <v>60</v>
      </c>
      <c r="E341" s="50">
        <v>18</v>
      </c>
      <c r="F341" s="50">
        <f>[1]标准人!B19*0.45</f>
        <v>351</v>
      </c>
      <c r="G341" s="50">
        <f>[1]标准人!C19*0.71</f>
        <v>488.0114</v>
      </c>
      <c r="H341" s="52">
        <f>[1]标准人!D19*1.04</f>
        <v>5616</v>
      </c>
      <c r="I341" s="51">
        <v>0.4</v>
      </c>
      <c r="J341" s="51">
        <v>2</v>
      </c>
      <c r="K341" s="51">
        <v>1</v>
      </c>
      <c r="L341" s="52">
        <f t="shared" si="5"/>
        <v>27374.7727619048</v>
      </c>
    </row>
    <row r="342" ht="15.6" spans="1:12">
      <c r="A342" s="51">
        <v>5</v>
      </c>
      <c r="B342" s="51" t="s">
        <v>63</v>
      </c>
      <c r="C342" s="50" t="s">
        <v>22</v>
      </c>
      <c r="D342" s="51" t="s">
        <v>60</v>
      </c>
      <c r="E342" s="50">
        <v>19</v>
      </c>
      <c r="F342" s="50">
        <f>[1]标准人!B20*0.45</f>
        <v>369</v>
      </c>
      <c r="G342" s="50">
        <f>[1]标准人!C20*0.71</f>
        <v>495.8356</v>
      </c>
      <c r="H342" s="52">
        <f>[1]标准人!D20*1.04</f>
        <v>5824</v>
      </c>
      <c r="I342" s="51">
        <v>0.4</v>
      </c>
      <c r="J342" s="51">
        <v>2</v>
      </c>
      <c r="K342" s="51">
        <v>1</v>
      </c>
      <c r="L342" s="52">
        <f t="shared" si="5"/>
        <v>28381.272</v>
      </c>
    </row>
    <row r="343" ht="15.6" spans="1:12">
      <c r="A343" s="51">
        <v>5</v>
      </c>
      <c r="B343" s="51" t="s">
        <v>63</v>
      </c>
      <c r="C343" s="50" t="s">
        <v>22</v>
      </c>
      <c r="D343" s="51" t="s">
        <v>60</v>
      </c>
      <c r="E343" s="50">
        <v>20</v>
      </c>
      <c r="F343" s="50">
        <f>[1]标准人!B21*0.45</f>
        <v>387</v>
      </c>
      <c r="G343" s="50">
        <f>[1]标准人!C21*0.71</f>
        <v>503.6598</v>
      </c>
      <c r="H343" s="52">
        <f>[1]标准人!D21*1.04</f>
        <v>6032</v>
      </c>
      <c r="I343" s="51">
        <v>0.4</v>
      </c>
      <c r="J343" s="51">
        <v>2</v>
      </c>
      <c r="K343" s="51">
        <v>1</v>
      </c>
      <c r="L343" s="52">
        <f t="shared" si="5"/>
        <v>29387.7712380952</v>
      </c>
    </row>
    <row r="344" ht="15.6" spans="1:12">
      <c r="A344" s="51">
        <v>5</v>
      </c>
      <c r="B344" s="51" t="s">
        <v>63</v>
      </c>
      <c r="C344" s="50" t="s">
        <v>22</v>
      </c>
      <c r="D344" s="51" t="s">
        <v>60</v>
      </c>
      <c r="E344" s="50">
        <v>21</v>
      </c>
      <c r="F344" s="50">
        <f>[1]标准人!B22*0.45</f>
        <v>405</v>
      </c>
      <c r="G344" s="50">
        <f>[1]标准人!C22*0.71</f>
        <v>511.484</v>
      </c>
      <c r="H344" s="52">
        <f>[1]标准人!D22*1.04</f>
        <v>6240</v>
      </c>
      <c r="I344" s="51">
        <v>0.4</v>
      </c>
      <c r="J344" s="51">
        <v>2</v>
      </c>
      <c r="K344" s="51">
        <v>1</v>
      </c>
      <c r="L344" s="52">
        <f t="shared" si="5"/>
        <v>30394.2704761905</v>
      </c>
    </row>
    <row r="345" ht="15.6" spans="1:12">
      <c r="A345" s="51">
        <v>5</v>
      </c>
      <c r="B345" s="51" t="s">
        <v>63</v>
      </c>
      <c r="C345" s="50" t="s">
        <v>22</v>
      </c>
      <c r="D345" s="51" t="s">
        <v>60</v>
      </c>
      <c r="E345" s="50">
        <v>22</v>
      </c>
      <c r="F345" s="50">
        <f>[1]标准人!B23*0.45</f>
        <v>423</v>
      </c>
      <c r="G345" s="50">
        <f>[1]标准人!C23*0.71</f>
        <v>519.3082</v>
      </c>
      <c r="H345" s="52">
        <f>[1]标准人!D23*1.04</f>
        <v>6448</v>
      </c>
      <c r="I345" s="51">
        <v>0.4</v>
      </c>
      <c r="J345" s="51">
        <v>2</v>
      </c>
      <c r="K345" s="51">
        <v>1</v>
      </c>
      <c r="L345" s="52">
        <f t="shared" si="5"/>
        <v>31400.7697142857</v>
      </c>
    </row>
    <row r="346" ht="15.6" spans="1:12">
      <c r="A346" s="51">
        <v>5</v>
      </c>
      <c r="B346" s="51" t="s">
        <v>63</v>
      </c>
      <c r="C346" s="50" t="s">
        <v>22</v>
      </c>
      <c r="D346" s="51" t="s">
        <v>60</v>
      </c>
      <c r="E346" s="50">
        <v>23</v>
      </c>
      <c r="F346" s="50">
        <f>[1]标准人!B24*0.45</f>
        <v>441</v>
      </c>
      <c r="G346" s="50">
        <f>[1]标准人!C24*0.71</f>
        <v>527.1324</v>
      </c>
      <c r="H346" s="52">
        <f>[1]标准人!D24*1.04</f>
        <v>6656</v>
      </c>
      <c r="I346" s="51">
        <v>0.4</v>
      </c>
      <c r="J346" s="51">
        <v>2</v>
      </c>
      <c r="K346" s="51">
        <v>1</v>
      </c>
      <c r="L346" s="52">
        <f t="shared" si="5"/>
        <v>32407.268952381</v>
      </c>
    </row>
    <row r="347" ht="15.6" spans="1:12">
      <c r="A347" s="51">
        <v>5</v>
      </c>
      <c r="B347" s="51" t="s">
        <v>63</v>
      </c>
      <c r="C347" s="50" t="s">
        <v>22</v>
      </c>
      <c r="D347" s="51" t="s">
        <v>60</v>
      </c>
      <c r="E347" s="50">
        <v>24</v>
      </c>
      <c r="F347" s="50">
        <f>[1]标准人!B25*0.45</f>
        <v>459</v>
      </c>
      <c r="G347" s="50">
        <f>[1]标准人!C25*0.71</f>
        <v>534.9566</v>
      </c>
      <c r="H347" s="52">
        <f>[1]标准人!D25*1.04</f>
        <v>6864</v>
      </c>
      <c r="I347" s="51">
        <v>0.4</v>
      </c>
      <c r="J347" s="51">
        <v>2</v>
      </c>
      <c r="K347" s="51">
        <v>1</v>
      </c>
      <c r="L347" s="52">
        <f t="shared" si="5"/>
        <v>33413.7681904762</v>
      </c>
    </row>
    <row r="348" ht="15.6" spans="1:12">
      <c r="A348" s="51">
        <v>5</v>
      </c>
      <c r="B348" s="51" t="s">
        <v>63</v>
      </c>
      <c r="C348" s="50" t="s">
        <v>22</v>
      </c>
      <c r="D348" s="51" t="s">
        <v>60</v>
      </c>
      <c r="E348" s="50">
        <v>25</v>
      </c>
      <c r="F348" s="50">
        <f>[1]标准人!B26*0.45</f>
        <v>477</v>
      </c>
      <c r="G348" s="50">
        <f>[1]标准人!C26*0.71</f>
        <v>542.7808</v>
      </c>
      <c r="H348" s="52">
        <f>[1]标准人!D26*1.04</f>
        <v>7072</v>
      </c>
      <c r="I348" s="51">
        <v>0.4</v>
      </c>
      <c r="J348" s="51">
        <v>2</v>
      </c>
      <c r="K348" s="51">
        <v>1</v>
      </c>
      <c r="L348" s="52">
        <f t="shared" si="5"/>
        <v>34420.2674285714</v>
      </c>
    </row>
    <row r="349" ht="15.6" spans="1:12">
      <c r="A349" s="51">
        <v>5</v>
      </c>
      <c r="B349" s="51" t="s">
        <v>63</v>
      </c>
      <c r="C349" s="50" t="s">
        <v>22</v>
      </c>
      <c r="D349" s="51" t="s">
        <v>60</v>
      </c>
      <c r="E349" s="50">
        <v>26</v>
      </c>
      <c r="F349" s="50">
        <f>[1]标准人!B27*0.45</f>
        <v>495</v>
      </c>
      <c r="G349" s="50">
        <f>[1]标准人!C27*0.71</f>
        <v>550.605</v>
      </c>
      <c r="H349" s="52">
        <f>[1]标准人!D27*1.04</f>
        <v>7280</v>
      </c>
      <c r="I349" s="51">
        <v>0.4</v>
      </c>
      <c r="J349" s="51">
        <v>2</v>
      </c>
      <c r="K349" s="51">
        <v>1</v>
      </c>
      <c r="L349" s="52">
        <f t="shared" si="5"/>
        <v>35426.7666666667</v>
      </c>
    </row>
    <row r="350" ht="15.6" spans="1:12">
      <c r="A350" s="51">
        <v>5</v>
      </c>
      <c r="B350" s="51" t="s">
        <v>63</v>
      </c>
      <c r="C350" s="50" t="s">
        <v>22</v>
      </c>
      <c r="D350" s="51" t="s">
        <v>60</v>
      </c>
      <c r="E350" s="50">
        <v>27</v>
      </c>
      <c r="F350" s="50">
        <f>[1]标准人!B28*0.45</f>
        <v>513</v>
      </c>
      <c r="G350" s="50">
        <f>[1]标准人!C28*0.71</f>
        <v>558.4292</v>
      </c>
      <c r="H350" s="52">
        <f>[1]标准人!D28*1.04</f>
        <v>7488</v>
      </c>
      <c r="I350" s="51">
        <v>0.4</v>
      </c>
      <c r="J350" s="51">
        <v>2</v>
      </c>
      <c r="K350" s="51">
        <v>1</v>
      </c>
      <c r="L350" s="52">
        <f t="shared" si="5"/>
        <v>36433.2659047619</v>
      </c>
    </row>
    <row r="351" ht="15.6" spans="1:12">
      <c r="A351" s="51">
        <v>5</v>
      </c>
      <c r="B351" s="51" t="s">
        <v>63</v>
      </c>
      <c r="C351" s="50" t="s">
        <v>22</v>
      </c>
      <c r="D351" s="51" t="s">
        <v>60</v>
      </c>
      <c r="E351" s="50">
        <v>28</v>
      </c>
      <c r="F351" s="50">
        <f>[1]标准人!B29*0.45</f>
        <v>531</v>
      </c>
      <c r="G351" s="50">
        <f>[1]标准人!C29*0.71</f>
        <v>566.2534</v>
      </c>
      <c r="H351" s="52">
        <f>[1]标准人!D29*1.04</f>
        <v>7696</v>
      </c>
      <c r="I351" s="51">
        <v>0.4</v>
      </c>
      <c r="J351" s="51">
        <v>2</v>
      </c>
      <c r="K351" s="51">
        <v>1</v>
      </c>
      <c r="L351" s="52">
        <f t="shared" si="5"/>
        <v>37439.7651428571</v>
      </c>
    </row>
    <row r="352" ht="15.6" spans="1:12">
      <c r="A352" s="51">
        <v>5</v>
      </c>
      <c r="B352" s="51" t="s">
        <v>63</v>
      </c>
      <c r="C352" s="50" t="s">
        <v>22</v>
      </c>
      <c r="D352" s="51" t="s">
        <v>60</v>
      </c>
      <c r="E352" s="50">
        <v>29</v>
      </c>
      <c r="F352" s="50">
        <f>[1]标准人!B30*0.45</f>
        <v>549</v>
      </c>
      <c r="G352" s="50">
        <f>[1]标准人!C30*0.71</f>
        <v>574.0776</v>
      </c>
      <c r="H352" s="52">
        <f>[1]标准人!D30*1.04</f>
        <v>7904</v>
      </c>
      <c r="I352" s="51">
        <v>0.4</v>
      </c>
      <c r="J352" s="51">
        <v>2</v>
      </c>
      <c r="K352" s="51">
        <v>1</v>
      </c>
      <c r="L352" s="52">
        <f t="shared" si="5"/>
        <v>38446.2643809524</v>
      </c>
    </row>
    <row r="353" ht="15.6" spans="1:12">
      <c r="A353" s="51">
        <v>5</v>
      </c>
      <c r="B353" s="51" t="s">
        <v>63</v>
      </c>
      <c r="C353" s="50" t="s">
        <v>22</v>
      </c>
      <c r="D353" s="51" t="s">
        <v>60</v>
      </c>
      <c r="E353" s="50">
        <v>30</v>
      </c>
      <c r="F353" s="50">
        <f>[1]标准人!B31*0.45</f>
        <v>567</v>
      </c>
      <c r="G353" s="50">
        <f>[1]标准人!C31*0.71</f>
        <v>581.9018</v>
      </c>
      <c r="H353" s="52">
        <f>[1]标准人!D31*1.04</f>
        <v>8112</v>
      </c>
      <c r="I353" s="51">
        <v>0.4</v>
      </c>
      <c r="J353" s="51">
        <v>2</v>
      </c>
      <c r="K353" s="51">
        <v>1</v>
      </c>
      <c r="L353" s="52">
        <f t="shared" si="5"/>
        <v>39452.7636190476</v>
      </c>
    </row>
    <row r="354" ht="15.6" spans="1:12">
      <c r="A354" s="51">
        <v>5</v>
      </c>
      <c r="B354" s="51" t="s">
        <v>63</v>
      </c>
      <c r="C354" s="50" t="s">
        <v>22</v>
      </c>
      <c r="D354" s="51" t="s">
        <v>60</v>
      </c>
      <c r="E354" s="50">
        <v>31</v>
      </c>
      <c r="F354" s="50">
        <f>[1]标准人!B32*0.45</f>
        <v>585</v>
      </c>
      <c r="G354" s="50">
        <f>[1]标准人!C32*0.71</f>
        <v>589.726</v>
      </c>
      <c r="H354" s="52">
        <f>[1]标准人!D32*1.04</f>
        <v>8320</v>
      </c>
      <c r="I354" s="51">
        <v>0.4</v>
      </c>
      <c r="J354" s="51">
        <v>2</v>
      </c>
      <c r="K354" s="51">
        <v>1</v>
      </c>
      <c r="L354" s="52">
        <f t="shared" si="5"/>
        <v>40459.2628571429</v>
      </c>
    </row>
    <row r="355" ht="15.6" spans="1:12">
      <c r="A355" s="51">
        <v>5</v>
      </c>
      <c r="B355" s="51" t="s">
        <v>63</v>
      </c>
      <c r="C355" s="50" t="s">
        <v>22</v>
      </c>
      <c r="D355" s="51" t="s">
        <v>60</v>
      </c>
      <c r="E355" s="50">
        <v>32</v>
      </c>
      <c r="F355" s="50">
        <f>[1]标准人!B33*0.45</f>
        <v>603</v>
      </c>
      <c r="G355" s="50">
        <f>[1]标准人!C33*0.71</f>
        <v>597.5502</v>
      </c>
      <c r="H355" s="52">
        <f>[1]标准人!D33*1.04</f>
        <v>8528</v>
      </c>
      <c r="I355" s="51">
        <v>0.4</v>
      </c>
      <c r="J355" s="51">
        <v>2</v>
      </c>
      <c r="K355" s="51">
        <v>1</v>
      </c>
      <c r="L355" s="52">
        <f t="shared" si="5"/>
        <v>41465.7620952381</v>
      </c>
    </row>
    <row r="356" ht="15.6" spans="1:12">
      <c r="A356" s="51">
        <v>5</v>
      </c>
      <c r="B356" s="51" t="s">
        <v>63</v>
      </c>
      <c r="C356" s="50" t="s">
        <v>22</v>
      </c>
      <c r="D356" s="51" t="s">
        <v>60</v>
      </c>
      <c r="E356" s="50">
        <v>33</v>
      </c>
      <c r="F356" s="50">
        <f>[1]标准人!B34*0.45</f>
        <v>621</v>
      </c>
      <c r="G356" s="50">
        <f>[1]标准人!C34*0.71</f>
        <v>605.3744</v>
      </c>
      <c r="H356" s="52">
        <f>[1]标准人!D34*1.04</f>
        <v>8736</v>
      </c>
      <c r="I356" s="51">
        <v>0.4</v>
      </c>
      <c r="J356" s="51">
        <v>2</v>
      </c>
      <c r="K356" s="51">
        <v>1</v>
      </c>
      <c r="L356" s="52">
        <f t="shared" si="5"/>
        <v>42472.2613333333</v>
      </c>
    </row>
    <row r="357" ht="15.6" spans="1:12">
      <c r="A357" s="51">
        <v>5</v>
      </c>
      <c r="B357" s="51" t="s">
        <v>63</v>
      </c>
      <c r="C357" s="50" t="s">
        <v>22</v>
      </c>
      <c r="D357" s="51" t="s">
        <v>60</v>
      </c>
      <c r="E357" s="50">
        <v>34</v>
      </c>
      <c r="F357" s="50">
        <f>[1]标准人!B35*0.45</f>
        <v>639</v>
      </c>
      <c r="G357" s="50">
        <f>[1]标准人!C35*0.71</f>
        <v>613.1986</v>
      </c>
      <c r="H357" s="52">
        <f>[1]标准人!D35*1.04</f>
        <v>8944</v>
      </c>
      <c r="I357" s="51">
        <v>0.4</v>
      </c>
      <c r="J357" s="51">
        <v>2</v>
      </c>
      <c r="K357" s="51">
        <v>1</v>
      </c>
      <c r="L357" s="52">
        <f t="shared" si="5"/>
        <v>43478.7605714286</v>
      </c>
    </row>
    <row r="358" ht="15.6" spans="1:12">
      <c r="A358" s="51">
        <v>5</v>
      </c>
      <c r="B358" s="51" t="s">
        <v>63</v>
      </c>
      <c r="C358" s="50" t="s">
        <v>22</v>
      </c>
      <c r="D358" s="51" t="s">
        <v>60</v>
      </c>
      <c r="E358" s="50">
        <v>35</v>
      </c>
      <c r="F358" s="50">
        <f>[1]标准人!B36*0.45</f>
        <v>657</v>
      </c>
      <c r="G358" s="50">
        <f>[1]标准人!C36*0.71</f>
        <v>621.0228</v>
      </c>
      <c r="H358" s="52">
        <f>[1]标准人!D36*1.04</f>
        <v>9152</v>
      </c>
      <c r="I358" s="51">
        <v>0.4</v>
      </c>
      <c r="J358" s="51">
        <v>2</v>
      </c>
      <c r="K358" s="51">
        <v>1</v>
      </c>
      <c r="L358" s="52">
        <f t="shared" si="5"/>
        <v>44485.2598095238</v>
      </c>
    </row>
    <row r="359" ht="15.6" spans="1:12">
      <c r="A359" s="51">
        <v>5</v>
      </c>
      <c r="B359" s="51" t="s">
        <v>63</v>
      </c>
      <c r="C359" s="50" t="s">
        <v>22</v>
      </c>
      <c r="D359" s="51" t="s">
        <v>60</v>
      </c>
      <c r="E359" s="50">
        <v>36</v>
      </c>
      <c r="F359" s="50">
        <f>[1]标准人!B37*0.45</f>
        <v>675</v>
      </c>
      <c r="G359" s="50">
        <f>[1]标准人!C37*0.71</f>
        <v>628.847</v>
      </c>
      <c r="H359" s="52">
        <f>[1]标准人!D37*1.04</f>
        <v>9360</v>
      </c>
      <c r="I359" s="51">
        <v>0.4</v>
      </c>
      <c r="J359" s="51">
        <v>2</v>
      </c>
      <c r="K359" s="51">
        <v>1</v>
      </c>
      <c r="L359" s="52">
        <f t="shared" si="5"/>
        <v>45491.759047619</v>
      </c>
    </row>
    <row r="360" ht="15.6" spans="1:12">
      <c r="A360" s="51">
        <v>5</v>
      </c>
      <c r="B360" s="51" t="s">
        <v>63</v>
      </c>
      <c r="C360" s="50" t="s">
        <v>22</v>
      </c>
      <c r="D360" s="51" t="s">
        <v>60</v>
      </c>
      <c r="E360" s="50">
        <v>37</v>
      </c>
      <c r="F360" s="50">
        <f>[1]标准人!B38*0.45</f>
        <v>693</v>
      </c>
      <c r="G360" s="50">
        <f>[1]标准人!C38*0.71</f>
        <v>636.6712</v>
      </c>
      <c r="H360" s="52">
        <f>[1]标准人!D38*1.04</f>
        <v>9568</v>
      </c>
      <c r="I360" s="51">
        <v>0.4</v>
      </c>
      <c r="J360" s="51">
        <v>2</v>
      </c>
      <c r="K360" s="51">
        <v>1</v>
      </c>
      <c r="L360" s="52">
        <f t="shared" si="5"/>
        <v>46498.2582857143</v>
      </c>
    </row>
    <row r="361" ht="15.6" spans="1:12">
      <c r="A361" s="51">
        <v>5</v>
      </c>
      <c r="B361" s="51" t="s">
        <v>63</v>
      </c>
      <c r="C361" s="50" t="s">
        <v>22</v>
      </c>
      <c r="D361" s="51" t="s">
        <v>60</v>
      </c>
      <c r="E361" s="50">
        <v>38</v>
      </c>
      <c r="F361" s="50">
        <f>[1]标准人!B39*0.45</f>
        <v>711</v>
      </c>
      <c r="G361" s="50">
        <f>[1]标准人!C39*0.71</f>
        <v>644.4954</v>
      </c>
      <c r="H361" s="52">
        <f>[1]标准人!D39*1.04</f>
        <v>9776</v>
      </c>
      <c r="I361" s="51">
        <v>0.4</v>
      </c>
      <c r="J361" s="51">
        <v>2</v>
      </c>
      <c r="K361" s="51">
        <v>1</v>
      </c>
      <c r="L361" s="52">
        <f t="shared" si="5"/>
        <v>47504.7575238095</v>
      </c>
    </row>
    <row r="362" ht="15.6" spans="1:12">
      <c r="A362" s="51">
        <v>5</v>
      </c>
      <c r="B362" s="51" t="s">
        <v>63</v>
      </c>
      <c r="C362" s="50" t="s">
        <v>22</v>
      </c>
      <c r="D362" s="51" t="s">
        <v>60</v>
      </c>
      <c r="E362" s="50">
        <v>39</v>
      </c>
      <c r="F362" s="50">
        <f>[1]标准人!B40*0.45</f>
        <v>729</v>
      </c>
      <c r="G362" s="50">
        <f>[1]标准人!C40*0.71</f>
        <v>652.3196</v>
      </c>
      <c r="H362" s="52">
        <f>[1]标准人!D40*1.04</f>
        <v>9984</v>
      </c>
      <c r="I362" s="51">
        <v>0.4</v>
      </c>
      <c r="J362" s="51">
        <v>2</v>
      </c>
      <c r="K362" s="51">
        <v>1</v>
      </c>
      <c r="L362" s="52">
        <f t="shared" si="5"/>
        <v>48511.2567619048</v>
      </c>
    </row>
    <row r="363" ht="15.6" spans="1:12">
      <c r="A363" s="51">
        <v>5</v>
      </c>
      <c r="B363" s="51" t="s">
        <v>63</v>
      </c>
      <c r="C363" s="50" t="s">
        <v>22</v>
      </c>
      <c r="D363" s="51" t="s">
        <v>60</v>
      </c>
      <c r="E363" s="50">
        <v>40</v>
      </c>
      <c r="F363" s="50">
        <f>[1]标准人!B41*0.45</f>
        <v>747</v>
      </c>
      <c r="G363" s="50">
        <f>[1]标准人!C41*0.71</f>
        <v>660.1438</v>
      </c>
      <c r="H363" s="52">
        <f>[1]标准人!D41*1.04</f>
        <v>10192</v>
      </c>
      <c r="I363" s="51">
        <v>0.4</v>
      </c>
      <c r="J363" s="51">
        <v>2</v>
      </c>
      <c r="K363" s="51">
        <v>1</v>
      </c>
      <c r="L363" s="52">
        <f t="shared" si="5"/>
        <v>49517.756</v>
      </c>
    </row>
    <row r="364" ht="15.6" spans="1:12">
      <c r="A364" s="51">
        <v>5</v>
      </c>
      <c r="B364" s="51" t="s">
        <v>63</v>
      </c>
      <c r="C364" s="50" t="s">
        <v>22</v>
      </c>
      <c r="D364" s="51" t="s">
        <v>60</v>
      </c>
      <c r="E364" s="50">
        <v>41</v>
      </c>
      <c r="F364" s="50">
        <f>[1]标准人!B42*0.45</f>
        <v>765</v>
      </c>
      <c r="G364" s="50">
        <f>[1]标准人!C42*0.71</f>
        <v>667.968</v>
      </c>
      <c r="H364" s="52">
        <f>[1]标准人!D42*1.04</f>
        <v>10400</v>
      </c>
      <c r="I364" s="51">
        <v>0.4</v>
      </c>
      <c r="J364" s="51">
        <v>2</v>
      </c>
      <c r="K364" s="51">
        <v>1</v>
      </c>
      <c r="L364" s="52">
        <f t="shared" si="5"/>
        <v>50524.2552380952</v>
      </c>
    </row>
    <row r="365" ht="15.6" spans="1:12">
      <c r="A365" s="51">
        <v>5</v>
      </c>
      <c r="B365" s="51" t="s">
        <v>63</v>
      </c>
      <c r="C365" s="50" t="s">
        <v>22</v>
      </c>
      <c r="D365" s="51" t="s">
        <v>60</v>
      </c>
      <c r="E365" s="50">
        <v>42</v>
      </c>
      <c r="F365" s="50">
        <f>[1]标准人!B43*0.45</f>
        <v>783</v>
      </c>
      <c r="G365" s="50">
        <f>[1]标准人!C43*0.71</f>
        <v>675.7922</v>
      </c>
      <c r="H365" s="52">
        <f>[1]标准人!D43*1.04</f>
        <v>10608</v>
      </c>
      <c r="I365" s="51">
        <v>0.4</v>
      </c>
      <c r="J365" s="51">
        <v>2</v>
      </c>
      <c r="K365" s="51">
        <v>1</v>
      </c>
      <c r="L365" s="52">
        <f t="shared" si="5"/>
        <v>51530.7544761905</v>
      </c>
    </row>
    <row r="366" ht="15.6" spans="1:12">
      <c r="A366" s="51">
        <v>5</v>
      </c>
      <c r="B366" s="51" t="s">
        <v>63</v>
      </c>
      <c r="C366" s="50" t="s">
        <v>22</v>
      </c>
      <c r="D366" s="51" t="s">
        <v>60</v>
      </c>
      <c r="E366" s="50">
        <v>43</v>
      </c>
      <c r="F366" s="50">
        <f>[1]标准人!B44*0.45</f>
        <v>801</v>
      </c>
      <c r="G366" s="50">
        <f>[1]标准人!C44*0.71</f>
        <v>683.6164</v>
      </c>
      <c r="H366" s="52">
        <f>[1]标准人!D44*1.04</f>
        <v>10816</v>
      </c>
      <c r="I366" s="51">
        <v>0.4</v>
      </c>
      <c r="J366" s="51">
        <v>2</v>
      </c>
      <c r="K366" s="51">
        <v>1</v>
      </c>
      <c r="L366" s="52">
        <f t="shared" si="5"/>
        <v>52537.2537142857</v>
      </c>
    </row>
    <row r="367" ht="15.6" spans="1:12">
      <c r="A367" s="51">
        <v>5</v>
      </c>
      <c r="B367" s="51" t="s">
        <v>63</v>
      </c>
      <c r="C367" s="50" t="s">
        <v>22</v>
      </c>
      <c r="D367" s="51" t="s">
        <v>60</v>
      </c>
      <c r="E367" s="50">
        <v>44</v>
      </c>
      <c r="F367" s="50">
        <f>[1]标准人!B45*0.45</f>
        <v>819</v>
      </c>
      <c r="G367" s="50">
        <f>[1]标准人!C45*0.71</f>
        <v>691.4406</v>
      </c>
      <c r="H367" s="52">
        <f>[1]标准人!D45*1.04</f>
        <v>11024</v>
      </c>
      <c r="I367" s="51">
        <v>0.4</v>
      </c>
      <c r="J367" s="51">
        <v>2</v>
      </c>
      <c r="K367" s="51">
        <v>1</v>
      </c>
      <c r="L367" s="52">
        <f t="shared" si="5"/>
        <v>53543.7529523809</v>
      </c>
    </row>
    <row r="368" ht="15.6" spans="1:12">
      <c r="A368" s="51">
        <v>5</v>
      </c>
      <c r="B368" s="51" t="s">
        <v>63</v>
      </c>
      <c r="C368" s="50" t="s">
        <v>22</v>
      </c>
      <c r="D368" s="51" t="s">
        <v>60</v>
      </c>
      <c r="E368" s="50">
        <v>45</v>
      </c>
      <c r="F368" s="50">
        <f>[1]标准人!B46*0.45</f>
        <v>837</v>
      </c>
      <c r="G368" s="50">
        <f>[1]标准人!C46*0.71</f>
        <v>699.2648</v>
      </c>
      <c r="H368" s="52">
        <f>[1]标准人!D46*1.04</f>
        <v>11232</v>
      </c>
      <c r="I368" s="51">
        <v>0.4</v>
      </c>
      <c r="J368" s="51">
        <v>2</v>
      </c>
      <c r="K368" s="51">
        <v>1</v>
      </c>
      <c r="L368" s="52">
        <f t="shared" si="5"/>
        <v>54550.2521904762</v>
      </c>
    </row>
    <row r="369" ht="15.6" spans="1:12">
      <c r="A369" s="51">
        <v>5</v>
      </c>
      <c r="B369" s="51" t="s">
        <v>63</v>
      </c>
      <c r="C369" s="50" t="s">
        <v>22</v>
      </c>
      <c r="D369" s="51" t="s">
        <v>60</v>
      </c>
      <c r="E369" s="50">
        <v>46</v>
      </c>
      <c r="F369" s="50">
        <f>[1]标准人!B47*0.45</f>
        <v>855</v>
      </c>
      <c r="G369" s="50">
        <f>[1]标准人!C47*0.71</f>
        <v>707.089</v>
      </c>
      <c r="H369" s="52">
        <f>[1]标准人!D47*1.04</f>
        <v>11440</v>
      </c>
      <c r="I369" s="51">
        <v>0.4</v>
      </c>
      <c r="J369" s="51">
        <v>2</v>
      </c>
      <c r="K369" s="51">
        <v>1</v>
      </c>
      <c r="L369" s="52">
        <f t="shared" si="5"/>
        <v>55556.7514285714</v>
      </c>
    </row>
    <row r="370" ht="15.6" spans="1:12">
      <c r="A370" s="51">
        <v>5</v>
      </c>
      <c r="B370" s="51" t="s">
        <v>63</v>
      </c>
      <c r="C370" s="50" t="s">
        <v>22</v>
      </c>
      <c r="D370" s="51" t="s">
        <v>60</v>
      </c>
      <c r="E370" s="50">
        <v>47</v>
      </c>
      <c r="F370" s="50">
        <f>[1]标准人!B48*0.45</f>
        <v>873</v>
      </c>
      <c r="G370" s="50">
        <f>[1]标准人!C48*0.71</f>
        <v>714.9132</v>
      </c>
      <c r="H370" s="52">
        <f>[1]标准人!D48*1.04</f>
        <v>11648</v>
      </c>
      <c r="I370" s="51">
        <v>0.4</v>
      </c>
      <c r="J370" s="51">
        <v>2</v>
      </c>
      <c r="K370" s="51">
        <v>1</v>
      </c>
      <c r="L370" s="52">
        <f t="shared" si="5"/>
        <v>56563.2506666667</v>
      </c>
    </row>
    <row r="371" ht="15.6" spans="1:12">
      <c r="A371" s="51">
        <v>5</v>
      </c>
      <c r="B371" s="51" t="s">
        <v>63</v>
      </c>
      <c r="C371" s="50" t="s">
        <v>22</v>
      </c>
      <c r="D371" s="51" t="s">
        <v>60</v>
      </c>
      <c r="E371" s="50">
        <v>48</v>
      </c>
      <c r="F371" s="50">
        <f>[1]标准人!B49*0.45</f>
        <v>891</v>
      </c>
      <c r="G371" s="50">
        <f>[1]标准人!C49*0.71</f>
        <v>722.7374</v>
      </c>
      <c r="H371" s="52">
        <f>[1]标准人!D49*1.04</f>
        <v>11856</v>
      </c>
      <c r="I371" s="51">
        <v>0.4</v>
      </c>
      <c r="J371" s="51">
        <v>2</v>
      </c>
      <c r="K371" s="51">
        <v>1</v>
      </c>
      <c r="L371" s="52">
        <f t="shared" si="5"/>
        <v>57569.7499047619</v>
      </c>
    </row>
    <row r="372" ht="15.6" spans="1:12">
      <c r="A372" s="51">
        <v>5</v>
      </c>
      <c r="B372" s="51" t="s">
        <v>63</v>
      </c>
      <c r="C372" s="50" t="s">
        <v>22</v>
      </c>
      <c r="D372" s="51" t="s">
        <v>60</v>
      </c>
      <c r="E372" s="50">
        <v>49</v>
      </c>
      <c r="F372" s="50">
        <f>[1]标准人!B50*0.45</f>
        <v>909</v>
      </c>
      <c r="G372" s="50">
        <f>[1]标准人!C50*0.71</f>
        <v>730.5616</v>
      </c>
      <c r="H372" s="52">
        <f>[1]标准人!D50*1.04</f>
        <v>12064</v>
      </c>
      <c r="I372" s="51">
        <v>0.4</v>
      </c>
      <c r="J372" s="51">
        <v>2</v>
      </c>
      <c r="K372" s="51">
        <v>1</v>
      </c>
      <c r="L372" s="52">
        <f t="shared" si="5"/>
        <v>58576.2491428571</v>
      </c>
    </row>
    <row r="373" ht="15.6" spans="1:12">
      <c r="A373" s="51">
        <v>5</v>
      </c>
      <c r="B373" s="51" t="s">
        <v>63</v>
      </c>
      <c r="C373" s="50" t="s">
        <v>22</v>
      </c>
      <c r="D373" s="51" t="s">
        <v>60</v>
      </c>
      <c r="E373" s="50">
        <v>50</v>
      </c>
      <c r="F373" s="50">
        <f>[1]标准人!B51*0.45</f>
        <v>927</v>
      </c>
      <c r="G373" s="50">
        <f>[1]标准人!C51*0.71</f>
        <v>738.3858</v>
      </c>
      <c r="H373" s="52">
        <f>[1]标准人!D51*1.04</f>
        <v>12272</v>
      </c>
      <c r="I373" s="51">
        <v>0.4</v>
      </c>
      <c r="J373" s="51">
        <v>2</v>
      </c>
      <c r="K373" s="51">
        <v>1</v>
      </c>
      <c r="L373" s="52">
        <f t="shared" si="5"/>
        <v>59582.7483809524</v>
      </c>
    </row>
    <row r="374" ht="15.6" spans="1:12">
      <c r="A374" s="51">
        <v>5</v>
      </c>
      <c r="B374" s="51" t="s">
        <v>63</v>
      </c>
      <c r="C374" s="50" t="s">
        <v>22</v>
      </c>
      <c r="D374" s="51" t="s">
        <v>60</v>
      </c>
      <c r="E374" s="50">
        <v>51</v>
      </c>
      <c r="F374" s="50">
        <f>[1]标准人!B52*0.45</f>
        <v>945</v>
      </c>
      <c r="G374" s="50">
        <f>[1]标准人!C52*0.71</f>
        <v>746.21</v>
      </c>
      <c r="H374" s="52">
        <f>[1]标准人!D52*1.04</f>
        <v>12480</v>
      </c>
      <c r="I374" s="51">
        <v>0.4</v>
      </c>
      <c r="J374" s="51">
        <v>2</v>
      </c>
      <c r="K374" s="51">
        <v>1</v>
      </c>
      <c r="L374" s="52">
        <f t="shared" si="5"/>
        <v>60589.2476190476</v>
      </c>
    </row>
    <row r="375" ht="15.6" spans="1:12">
      <c r="A375" s="51">
        <v>5</v>
      </c>
      <c r="B375" s="51" t="s">
        <v>63</v>
      </c>
      <c r="C375" s="50" t="s">
        <v>22</v>
      </c>
      <c r="D375" s="51" t="s">
        <v>60</v>
      </c>
      <c r="E375" s="50">
        <v>52</v>
      </c>
      <c r="F375" s="50">
        <f>[1]标准人!B53*0.45</f>
        <v>963</v>
      </c>
      <c r="G375" s="50">
        <f>[1]标准人!C53*0.71</f>
        <v>754.0342</v>
      </c>
      <c r="H375" s="52">
        <f>[1]标准人!D53*1.04</f>
        <v>12688</v>
      </c>
      <c r="I375" s="51">
        <v>0.4</v>
      </c>
      <c r="J375" s="51">
        <v>2</v>
      </c>
      <c r="K375" s="51">
        <v>1</v>
      </c>
      <c r="L375" s="52">
        <f t="shared" si="5"/>
        <v>61595.7468571429</v>
      </c>
    </row>
    <row r="376" ht="15.6" spans="1:12">
      <c r="A376" s="51">
        <v>5</v>
      </c>
      <c r="B376" s="51" t="s">
        <v>63</v>
      </c>
      <c r="C376" s="50" t="s">
        <v>22</v>
      </c>
      <c r="D376" s="51" t="s">
        <v>60</v>
      </c>
      <c r="E376" s="50">
        <v>53</v>
      </c>
      <c r="F376" s="50">
        <f>[1]标准人!B54*0.45</f>
        <v>981</v>
      </c>
      <c r="G376" s="50">
        <f>[1]标准人!C54*0.71</f>
        <v>761.8584</v>
      </c>
      <c r="H376" s="52">
        <f>[1]标准人!D54*1.04</f>
        <v>12896</v>
      </c>
      <c r="I376" s="51">
        <v>0.4</v>
      </c>
      <c r="J376" s="51">
        <v>2</v>
      </c>
      <c r="K376" s="51">
        <v>1</v>
      </c>
      <c r="L376" s="52">
        <f t="shared" si="5"/>
        <v>62602.2460952381</v>
      </c>
    </row>
    <row r="377" ht="15.6" spans="1:12">
      <c r="A377" s="51">
        <v>5</v>
      </c>
      <c r="B377" s="51" t="s">
        <v>63</v>
      </c>
      <c r="C377" s="50" t="s">
        <v>22</v>
      </c>
      <c r="D377" s="51" t="s">
        <v>60</v>
      </c>
      <c r="E377" s="50">
        <v>54</v>
      </c>
      <c r="F377" s="50">
        <f>[1]标准人!B55*0.45</f>
        <v>999</v>
      </c>
      <c r="G377" s="50">
        <f>[1]标准人!C55*0.71</f>
        <v>769.6826</v>
      </c>
      <c r="H377" s="52">
        <f>[1]标准人!D55*1.04</f>
        <v>13104</v>
      </c>
      <c r="I377" s="51">
        <v>0.4</v>
      </c>
      <c r="J377" s="51">
        <v>2</v>
      </c>
      <c r="K377" s="51">
        <v>1</v>
      </c>
      <c r="L377" s="52">
        <f t="shared" si="5"/>
        <v>63608.7453333333</v>
      </c>
    </row>
    <row r="378" ht="15.6" spans="1:12">
      <c r="A378" s="51">
        <v>5</v>
      </c>
      <c r="B378" s="51" t="s">
        <v>63</v>
      </c>
      <c r="C378" s="50" t="s">
        <v>22</v>
      </c>
      <c r="D378" s="51" t="s">
        <v>60</v>
      </c>
      <c r="E378" s="50">
        <v>55</v>
      </c>
      <c r="F378" s="50">
        <f>[1]标准人!B56*0.45</f>
        <v>1017</v>
      </c>
      <c r="G378" s="50">
        <f>[1]标准人!C56*0.71</f>
        <v>777.5068</v>
      </c>
      <c r="H378" s="52">
        <f>[1]标准人!D56*1.04</f>
        <v>13312</v>
      </c>
      <c r="I378" s="51">
        <v>0.4</v>
      </c>
      <c r="J378" s="51">
        <v>2</v>
      </c>
      <c r="K378" s="51">
        <v>1</v>
      </c>
      <c r="L378" s="52">
        <f t="shared" si="5"/>
        <v>64615.2445714286</v>
      </c>
    </row>
    <row r="379" ht="15.6" spans="1:12">
      <c r="A379" s="51">
        <v>5</v>
      </c>
      <c r="B379" s="51" t="s">
        <v>63</v>
      </c>
      <c r="C379" s="50" t="s">
        <v>22</v>
      </c>
      <c r="D379" s="51" t="s">
        <v>60</v>
      </c>
      <c r="E379" s="50">
        <v>56</v>
      </c>
      <c r="F379" s="50">
        <f>[1]标准人!B57*0.45</f>
        <v>1035</v>
      </c>
      <c r="G379" s="50">
        <f>[1]标准人!C57*0.71</f>
        <v>785.331</v>
      </c>
      <c r="H379" s="52">
        <f>[1]标准人!D57*1.04</f>
        <v>13520</v>
      </c>
      <c r="I379" s="51">
        <v>0.4</v>
      </c>
      <c r="J379" s="51">
        <v>2</v>
      </c>
      <c r="K379" s="51">
        <v>1</v>
      </c>
      <c r="L379" s="52">
        <f t="shared" si="5"/>
        <v>65621.7438095238</v>
      </c>
    </row>
    <row r="380" ht="15.6" spans="1:12">
      <c r="A380" s="51">
        <v>5</v>
      </c>
      <c r="B380" s="51" t="s">
        <v>63</v>
      </c>
      <c r="C380" s="50" t="s">
        <v>22</v>
      </c>
      <c r="D380" s="51" t="s">
        <v>60</v>
      </c>
      <c r="E380" s="50">
        <v>57</v>
      </c>
      <c r="F380" s="50">
        <f>[1]标准人!B58*0.45</f>
        <v>1053</v>
      </c>
      <c r="G380" s="50">
        <f>[1]标准人!C58*0.71</f>
        <v>793.1552</v>
      </c>
      <c r="H380" s="52">
        <f>[1]标准人!D58*1.04</f>
        <v>13728</v>
      </c>
      <c r="I380" s="51">
        <v>0.4</v>
      </c>
      <c r="J380" s="51">
        <v>2</v>
      </c>
      <c r="K380" s="51">
        <v>1</v>
      </c>
      <c r="L380" s="52">
        <f t="shared" si="5"/>
        <v>66628.243047619</v>
      </c>
    </row>
    <row r="381" ht="15.6" spans="1:12">
      <c r="A381" s="51">
        <v>5</v>
      </c>
      <c r="B381" s="51" t="s">
        <v>63</v>
      </c>
      <c r="C381" s="50" t="s">
        <v>22</v>
      </c>
      <c r="D381" s="51" t="s">
        <v>60</v>
      </c>
      <c r="E381" s="50">
        <v>58</v>
      </c>
      <c r="F381" s="50">
        <f>[1]标准人!B59*0.45</f>
        <v>1071</v>
      </c>
      <c r="G381" s="50">
        <f>[1]标准人!C59*0.71</f>
        <v>800.9794</v>
      </c>
      <c r="H381" s="52">
        <f>[1]标准人!D59*1.04</f>
        <v>13936</v>
      </c>
      <c r="I381" s="51">
        <v>0.4</v>
      </c>
      <c r="J381" s="51">
        <v>2</v>
      </c>
      <c r="K381" s="51">
        <v>1</v>
      </c>
      <c r="L381" s="52">
        <f t="shared" si="5"/>
        <v>67634.7422857143</v>
      </c>
    </row>
    <row r="382" ht="15.6" spans="1:12">
      <c r="A382" s="51">
        <v>5</v>
      </c>
      <c r="B382" s="51" t="s">
        <v>63</v>
      </c>
      <c r="C382" s="50" t="s">
        <v>22</v>
      </c>
      <c r="D382" s="51" t="s">
        <v>60</v>
      </c>
      <c r="E382" s="50">
        <v>59</v>
      </c>
      <c r="F382" s="50">
        <f>[1]标准人!B60*0.45</f>
        <v>1089</v>
      </c>
      <c r="G382" s="50">
        <f>[1]标准人!C60*0.71</f>
        <v>808.8036</v>
      </c>
      <c r="H382" s="52">
        <f>[1]标准人!D60*1.04</f>
        <v>14144</v>
      </c>
      <c r="I382" s="51">
        <v>0.4</v>
      </c>
      <c r="J382" s="51">
        <v>2</v>
      </c>
      <c r="K382" s="51">
        <v>1</v>
      </c>
      <c r="L382" s="52">
        <f t="shared" si="5"/>
        <v>68641.2415238095</v>
      </c>
    </row>
    <row r="383" ht="15.6" spans="1:12">
      <c r="A383" s="51">
        <v>5</v>
      </c>
      <c r="B383" s="51" t="s">
        <v>63</v>
      </c>
      <c r="C383" s="50" t="s">
        <v>22</v>
      </c>
      <c r="D383" s="51" t="s">
        <v>60</v>
      </c>
      <c r="E383" s="50">
        <v>60</v>
      </c>
      <c r="F383" s="50">
        <f>[1]标准人!B61*0.45</f>
        <v>1107</v>
      </c>
      <c r="G383" s="50">
        <f>[1]标准人!C61*0.71</f>
        <v>816.6278</v>
      </c>
      <c r="H383" s="52">
        <f>[1]标准人!D61*1.04</f>
        <v>14352</v>
      </c>
      <c r="I383" s="51">
        <v>0.4</v>
      </c>
      <c r="J383" s="51">
        <v>2</v>
      </c>
      <c r="K383" s="51">
        <v>1</v>
      </c>
      <c r="L383" s="52">
        <f t="shared" si="5"/>
        <v>69647.7407619048</v>
      </c>
    </row>
    <row r="384" ht="15.6" spans="1:12">
      <c r="A384" s="51">
        <v>5</v>
      </c>
      <c r="B384" s="51" t="s">
        <v>63</v>
      </c>
      <c r="C384" s="50" t="s">
        <v>22</v>
      </c>
      <c r="D384" s="51" t="s">
        <v>60</v>
      </c>
      <c r="E384" s="50">
        <v>61</v>
      </c>
      <c r="F384" s="50">
        <f>[1]标准人!B62*0.45</f>
        <v>1125</v>
      </c>
      <c r="G384" s="50">
        <f>[1]标准人!C62*0.71</f>
        <v>824.452</v>
      </c>
      <c r="H384" s="52">
        <f>[1]标准人!D62*1.04</f>
        <v>14560</v>
      </c>
      <c r="I384" s="51">
        <v>0.4</v>
      </c>
      <c r="J384" s="51">
        <v>2</v>
      </c>
      <c r="K384" s="51">
        <v>1</v>
      </c>
      <c r="L384" s="52">
        <f t="shared" si="5"/>
        <v>70654.24</v>
      </c>
    </row>
    <row r="385" ht="15.6" spans="1:12">
      <c r="A385" s="51">
        <v>5</v>
      </c>
      <c r="B385" s="51" t="s">
        <v>63</v>
      </c>
      <c r="C385" s="50" t="s">
        <v>22</v>
      </c>
      <c r="D385" s="51" t="s">
        <v>60</v>
      </c>
      <c r="E385" s="50">
        <v>62</v>
      </c>
      <c r="F385" s="50">
        <f>[1]标准人!B63*0.45</f>
        <v>1143</v>
      </c>
      <c r="G385" s="50">
        <f>[1]标准人!C63*0.71</f>
        <v>832.2762</v>
      </c>
      <c r="H385" s="52">
        <f>[1]标准人!D63*1.04</f>
        <v>14768</v>
      </c>
      <c r="I385" s="51">
        <v>0.4</v>
      </c>
      <c r="J385" s="51">
        <v>2</v>
      </c>
      <c r="K385" s="51">
        <v>1</v>
      </c>
      <c r="L385" s="52">
        <f t="shared" si="5"/>
        <v>71660.7392380952</v>
      </c>
    </row>
    <row r="386" ht="15.6" spans="1:12">
      <c r="A386" s="51">
        <v>5</v>
      </c>
      <c r="B386" s="51" t="s">
        <v>63</v>
      </c>
      <c r="C386" s="50" t="s">
        <v>22</v>
      </c>
      <c r="D386" s="51" t="s">
        <v>60</v>
      </c>
      <c r="E386" s="50">
        <v>63</v>
      </c>
      <c r="F386" s="50">
        <f>[1]标准人!B64*0.45</f>
        <v>1161</v>
      </c>
      <c r="G386" s="50">
        <f>[1]标准人!C64*0.71</f>
        <v>840.1004</v>
      </c>
      <c r="H386" s="52">
        <f>[1]标准人!D64*1.04</f>
        <v>14976</v>
      </c>
      <c r="I386" s="51">
        <v>0.4</v>
      </c>
      <c r="J386" s="51">
        <v>2</v>
      </c>
      <c r="K386" s="51">
        <v>1</v>
      </c>
      <c r="L386" s="52">
        <f t="shared" si="5"/>
        <v>72667.2384761905</v>
      </c>
    </row>
    <row r="387" ht="15.6" spans="1:12">
      <c r="A387" s="51">
        <v>5</v>
      </c>
      <c r="B387" s="51" t="s">
        <v>63</v>
      </c>
      <c r="C387" s="50" t="s">
        <v>22</v>
      </c>
      <c r="D387" s="51" t="s">
        <v>60</v>
      </c>
      <c r="E387" s="50">
        <v>64</v>
      </c>
      <c r="F387" s="50">
        <f>[1]标准人!B65*0.45</f>
        <v>1179</v>
      </c>
      <c r="G387" s="50">
        <f>[1]标准人!C65*0.71</f>
        <v>847.9246</v>
      </c>
      <c r="H387" s="52">
        <f>[1]标准人!D65*1.04</f>
        <v>15184</v>
      </c>
      <c r="I387" s="51">
        <v>0.4</v>
      </c>
      <c r="J387" s="51">
        <v>2</v>
      </c>
      <c r="K387" s="51">
        <v>1</v>
      </c>
      <c r="L387" s="52">
        <f t="shared" si="5"/>
        <v>73673.7377142857</v>
      </c>
    </row>
    <row r="388" ht="15.6" spans="1:12">
      <c r="A388" s="51">
        <v>5</v>
      </c>
      <c r="B388" s="51" t="s">
        <v>63</v>
      </c>
      <c r="C388" s="50" t="s">
        <v>22</v>
      </c>
      <c r="D388" s="51" t="s">
        <v>60</v>
      </c>
      <c r="E388" s="50">
        <v>65</v>
      </c>
      <c r="F388" s="50">
        <f>[1]标准人!B66*0.45</f>
        <v>1197</v>
      </c>
      <c r="G388" s="50">
        <f>[1]标准人!C66*0.71</f>
        <v>855.7488</v>
      </c>
      <c r="H388" s="52">
        <f>[1]标准人!D66*1.04</f>
        <v>15392</v>
      </c>
      <c r="I388" s="51">
        <v>0.4</v>
      </c>
      <c r="J388" s="51">
        <v>2</v>
      </c>
      <c r="K388" s="51">
        <v>1</v>
      </c>
      <c r="L388" s="52">
        <f t="shared" ref="L388:L403" si="6">IF(D388="SNIP",((F388*0.4+G388*0.01+H388*1)*10.3),IF(D388="DPS",(F388*0.17+G388*0.05+H388*0.2)*30,(F388*0.1+G388*0.2+H388*1)*10/2.1))</f>
        <v>74680.2369523809</v>
      </c>
    </row>
    <row r="389" ht="15.6" spans="1:12">
      <c r="A389" s="51">
        <v>5</v>
      </c>
      <c r="B389" s="51" t="s">
        <v>63</v>
      </c>
      <c r="C389" s="50" t="s">
        <v>22</v>
      </c>
      <c r="D389" s="51" t="s">
        <v>60</v>
      </c>
      <c r="E389" s="50">
        <v>66</v>
      </c>
      <c r="F389" s="50">
        <f>[1]标准人!B67*0.45</f>
        <v>1215</v>
      </c>
      <c r="G389" s="50">
        <f>[1]标准人!C67*0.71</f>
        <v>863.573</v>
      </c>
      <c r="H389" s="52">
        <f>[1]标准人!D67*1.04</f>
        <v>15600</v>
      </c>
      <c r="I389" s="51">
        <v>0.4</v>
      </c>
      <c r="J389" s="51">
        <v>2</v>
      </c>
      <c r="K389" s="51">
        <v>1</v>
      </c>
      <c r="L389" s="52">
        <f t="shared" si="6"/>
        <v>75686.7361904762</v>
      </c>
    </row>
    <row r="390" ht="15.6" spans="1:12">
      <c r="A390" s="51">
        <v>5</v>
      </c>
      <c r="B390" s="51" t="s">
        <v>63</v>
      </c>
      <c r="C390" s="50" t="s">
        <v>22</v>
      </c>
      <c r="D390" s="51" t="s">
        <v>60</v>
      </c>
      <c r="E390" s="50">
        <v>67</v>
      </c>
      <c r="F390" s="50">
        <f>[1]标准人!B68*0.45</f>
        <v>1233</v>
      </c>
      <c r="G390" s="50">
        <f>[1]标准人!C68*0.71</f>
        <v>871.3972</v>
      </c>
      <c r="H390" s="52">
        <f>[1]标准人!D68*1.04</f>
        <v>15808</v>
      </c>
      <c r="I390" s="51">
        <v>0.4</v>
      </c>
      <c r="J390" s="51">
        <v>2</v>
      </c>
      <c r="K390" s="51">
        <v>1</v>
      </c>
      <c r="L390" s="52">
        <f t="shared" si="6"/>
        <v>76693.2354285714</v>
      </c>
    </row>
    <row r="391" ht="15.6" spans="1:12">
      <c r="A391" s="51">
        <v>5</v>
      </c>
      <c r="B391" s="51" t="s">
        <v>63</v>
      </c>
      <c r="C391" s="50" t="s">
        <v>22</v>
      </c>
      <c r="D391" s="51" t="s">
        <v>60</v>
      </c>
      <c r="E391" s="50">
        <v>68</v>
      </c>
      <c r="F391" s="50">
        <f>[1]标准人!B69*0.45</f>
        <v>1251</v>
      </c>
      <c r="G391" s="50">
        <f>[1]标准人!C69*0.71</f>
        <v>879.2214</v>
      </c>
      <c r="H391" s="52">
        <f>[1]标准人!D69*1.04</f>
        <v>16016</v>
      </c>
      <c r="I391" s="51">
        <v>0.4</v>
      </c>
      <c r="J391" s="51">
        <v>2</v>
      </c>
      <c r="K391" s="51">
        <v>1</v>
      </c>
      <c r="L391" s="52">
        <f t="shared" si="6"/>
        <v>77699.7346666667</v>
      </c>
    </row>
    <row r="392" ht="15.6" spans="1:12">
      <c r="A392" s="51">
        <v>5</v>
      </c>
      <c r="B392" s="51" t="s">
        <v>63</v>
      </c>
      <c r="C392" s="50" t="s">
        <v>22</v>
      </c>
      <c r="D392" s="51" t="s">
        <v>60</v>
      </c>
      <c r="E392" s="50">
        <v>69</v>
      </c>
      <c r="F392" s="50">
        <f>[1]标准人!B70*0.45</f>
        <v>1269</v>
      </c>
      <c r="G392" s="50">
        <f>[1]标准人!C70*0.71</f>
        <v>887.0456</v>
      </c>
      <c r="H392" s="52">
        <f>[1]标准人!D70*1.04</f>
        <v>16224</v>
      </c>
      <c r="I392" s="51">
        <v>0.4</v>
      </c>
      <c r="J392" s="51">
        <v>2</v>
      </c>
      <c r="K392" s="51">
        <v>1</v>
      </c>
      <c r="L392" s="52">
        <f t="shared" si="6"/>
        <v>78706.2339047619</v>
      </c>
    </row>
    <row r="393" ht="15.6" spans="1:12">
      <c r="A393" s="51">
        <v>5</v>
      </c>
      <c r="B393" s="51" t="s">
        <v>63</v>
      </c>
      <c r="C393" s="50" t="s">
        <v>22</v>
      </c>
      <c r="D393" s="51" t="s">
        <v>60</v>
      </c>
      <c r="E393" s="50">
        <v>70</v>
      </c>
      <c r="F393" s="50">
        <f>[1]标准人!B71*0.45</f>
        <v>1287</v>
      </c>
      <c r="G393" s="50">
        <f>[1]标准人!C71*0.71</f>
        <v>894.8698</v>
      </c>
      <c r="H393" s="52">
        <f>[1]标准人!D71*1.04</f>
        <v>16432</v>
      </c>
      <c r="I393" s="51">
        <v>0.4</v>
      </c>
      <c r="J393" s="51">
        <v>2</v>
      </c>
      <c r="K393" s="51">
        <v>1</v>
      </c>
      <c r="L393" s="52">
        <f t="shared" si="6"/>
        <v>79712.7331428571</v>
      </c>
    </row>
    <row r="394" ht="15.6" spans="1:12">
      <c r="A394" s="51">
        <v>5</v>
      </c>
      <c r="B394" s="51" t="s">
        <v>63</v>
      </c>
      <c r="C394" s="50" t="s">
        <v>22</v>
      </c>
      <c r="D394" s="51" t="s">
        <v>60</v>
      </c>
      <c r="E394" s="50">
        <v>71</v>
      </c>
      <c r="F394" s="50">
        <f>[1]标准人!B72*0.45</f>
        <v>1305</v>
      </c>
      <c r="G394" s="50">
        <f>[1]标准人!C72*0.71</f>
        <v>902.694</v>
      </c>
      <c r="H394" s="52">
        <f>[1]标准人!D72*1.04</f>
        <v>16640</v>
      </c>
      <c r="I394" s="51">
        <v>0.4</v>
      </c>
      <c r="J394" s="51">
        <v>2</v>
      </c>
      <c r="K394" s="51">
        <v>1</v>
      </c>
      <c r="L394" s="52">
        <f t="shared" si="6"/>
        <v>80719.2323809524</v>
      </c>
    </row>
    <row r="395" ht="15.6" spans="1:12">
      <c r="A395" s="51">
        <v>5</v>
      </c>
      <c r="B395" s="51" t="s">
        <v>63</v>
      </c>
      <c r="C395" s="50" t="s">
        <v>22</v>
      </c>
      <c r="D395" s="51" t="s">
        <v>60</v>
      </c>
      <c r="E395" s="50">
        <v>72</v>
      </c>
      <c r="F395" s="50">
        <f>[1]标准人!B73*0.45</f>
        <v>1323</v>
      </c>
      <c r="G395" s="50">
        <f>[1]标准人!C73*0.71</f>
        <v>910.5182</v>
      </c>
      <c r="H395" s="52">
        <f>[1]标准人!D73*1.04</f>
        <v>16848</v>
      </c>
      <c r="I395" s="51">
        <v>0.4</v>
      </c>
      <c r="J395" s="51">
        <v>2</v>
      </c>
      <c r="K395" s="51">
        <v>1</v>
      </c>
      <c r="L395" s="52">
        <f t="shared" si="6"/>
        <v>81725.7316190476</v>
      </c>
    </row>
    <row r="396" ht="15.6" spans="1:12">
      <c r="A396" s="51">
        <v>5</v>
      </c>
      <c r="B396" s="51" t="s">
        <v>63</v>
      </c>
      <c r="C396" s="50" t="s">
        <v>22</v>
      </c>
      <c r="D396" s="51" t="s">
        <v>60</v>
      </c>
      <c r="E396" s="50">
        <v>73</v>
      </c>
      <c r="F396" s="50">
        <f>[1]标准人!B74*0.45</f>
        <v>1341</v>
      </c>
      <c r="G396" s="50">
        <f>[1]标准人!C74*0.71</f>
        <v>918.3424</v>
      </c>
      <c r="H396" s="52">
        <f>[1]标准人!D74*1.04</f>
        <v>17056</v>
      </c>
      <c r="I396" s="51">
        <v>0.4</v>
      </c>
      <c r="J396" s="51">
        <v>2</v>
      </c>
      <c r="K396" s="51">
        <v>1</v>
      </c>
      <c r="L396" s="52">
        <f t="shared" si="6"/>
        <v>82732.2308571428</v>
      </c>
    </row>
    <row r="397" ht="15.6" spans="1:12">
      <c r="A397" s="51">
        <v>5</v>
      </c>
      <c r="B397" s="51" t="s">
        <v>63</v>
      </c>
      <c r="C397" s="50" t="s">
        <v>22</v>
      </c>
      <c r="D397" s="51" t="s">
        <v>60</v>
      </c>
      <c r="E397" s="50">
        <v>74</v>
      </c>
      <c r="F397" s="50">
        <f>[1]标准人!B75*0.45</f>
        <v>1359</v>
      </c>
      <c r="G397" s="50">
        <f>[1]标准人!C75*0.71</f>
        <v>926.1666</v>
      </c>
      <c r="H397" s="52">
        <f>[1]标准人!D75*1.04</f>
        <v>17264</v>
      </c>
      <c r="I397" s="51">
        <v>0.4</v>
      </c>
      <c r="J397" s="51">
        <v>2</v>
      </c>
      <c r="K397" s="51">
        <v>1</v>
      </c>
      <c r="L397" s="52">
        <f t="shared" si="6"/>
        <v>83738.7300952381</v>
      </c>
    </row>
    <row r="398" ht="15.6" spans="1:12">
      <c r="A398" s="51">
        <v>5</v>
      </c>
      <c r="B398" s="51" t="s">
        <v>63</v>
      </c>
      <c r="C398" s="50" t="s">
        <v>22</v>
      </c>
      <c r="D398" s="51" t="s">
        <v>60</v>
      </c>
      <c r="E398" s="50">
        <v>75</v>
      </c>
      <c r="F398" s="50">
        <f>[1]标准人!B76*0.45</f>
        <v>1377</v>
      </c>
      <c r="G398" s="50">
        <f>[1]标准人!C76*0.71</f>
        <v>933.9908</v>
      </c>
      <c r="H398" s="52">
        <f>[1]标准人!D76*1.04</f>
        <v>17472</v>
      </c>
      <c r="I398" s="51">
        <v>0.4</v>
      </c>
      <c r="J398" s="51">
        <v>2</v>
      </c>
      <c r="K398" s="51">
        <v>1</v>
      </c>
      <c r="L398" s="52">
        <f t="shared" si="6"/>
        <v>84745.2293333333</v>
      </c>
    </row>
    <row r="399" ht="15.6" spans="1:12">
      <c r="A399" s="51">
        <v>5</v>
      </c>
      <c r="B399" s="51" t="s">
        <v>63</v>
      </c>
      <c r="C399" s="50" t="s">
        <v>22</v>
      </c>
      <c r="D399" s="51" t="s">
        <v>60</v>
      </c>
      <c r="E399" s="50">
        <v>76</v>
      </c>
      <c r="F399" s="50">
        <f>[1]标准人!B77*0.45</f>
        <v>1395</v>
      </c>
      <c r="G399" s="50">
        <f>[1]标准人!C77*0.71</f>
        <v>941.815</v>
      </c>
      <c r="H399" s="52">
        <f>[1]标准人!D77*1.04</f>
        <v>17680</v>
      </c>
      <c r="I399" s="51">
        <v>0.4</v>
      </c>
      <c r="J399" s="51">
        <v>2</v>
      </c>
      <c r="K399" s="51">
        <v>1</v>
      </c>
      <c r="L399" s="52">
        <f t="shared" si="6"/>
        <v>85751.7285714286</v>
      </c>
    </row>
    <row r="400" ht="15.6" spans="1:12">
      <c r="A400" s="51">
        <v>5</v>
      </c>
      <c r="B400" s="51" t="s">
        <v>63</v>
      </c>
      <c r="C400" s="50" t="s">
        <v>22</v>
      </c>
      <c r="D400" s="51" t="s">
        <v>60</v>
      </c>
      <c r="E400" s="50">
        <v>77</v>
      </c>
      <c r="F400" s="50">
        <f>[1]标准人!B78*0.45</f>
        <v>1413</v>
      </c>
      <c r="G400" s="50">
        <f>[1]标准人!C78*0.71</f>
        <v>949.6392</v>
      </c>
      <c r="H400" s="52">
        <f>[1]标准人!D78*1.04</f>
        <v>17888</v>
      </c>
      <c r="I400" s="51">
        <v>0.4</v>
      </c>
      <c r="J400" s="51">
        <v>2</v>
      </c>
      <c r="K400" s="51">
        <v>1</v>
      </c>
      <c r="L400" s="52">
        <f t="shared" si="6"/>
        <v>86758.2278095238</v>
      </c>
    </row>
    <row r="401" ht="15.6" spans="1:12">
      <c r="A401" s="51">
        <v>5</v>
      </c>
      <c r="B401" s="51" t="s">
        <v>63</v>
      </c>
      <c r="C401" s="50" t="s">
        <v>22</v>
      </c>
      <c r="D401" s="51" t="s">
        <v>60</v>
      </c>
      <c r="E401" s="50">
        <v>78</v>
      </c>
      <c r="F401" s="50">
        <f>[1]标准人!B79*0.45</f>
        <v>1431</v>
      </c>
      <c r="G401" s="50">
        <f>[1]标准人!C79*0.71</f>
        <v>957.4634</v>
      </c>
      <c r="H401" s="52">
        <f>[1]标准人!D79*1.04</f>
        <v>18096</v>
      </c>
      <c r="I401" s="51">
        <v>0.4</v>
      </c>
      <c r="J401" s="51">
        <v>2</v>
      </c>
      <c r="K401" s="51">
        <v>1</v>
      </c>
      <c r="L401" s="52">
        <f t="shared" si="6"/>
        <v>87764.727047619</v>
      </c>
    </row>
    <row r="402" ht="15.6" spans="1:12">
      <c r="A402" s="51">
        <v>5</v>
      </c>
      <c r="B402" s="51" t="s">
        <v>63</v>
      </c>
      <c r="C402" s="50" t="s">
        <v>22</v>
      </c>
      <c r="D402" s="51" t="s">
        <v>60</v>
      </c>
      <c r="E402" s="50">
        <v>79</v>
      </c>
      <c r="F402" s="50">
        <f>[1]标准人!B80*0.45</f>
        <v>1449</v>
      </c>
      <c r="G402" s="50">
        <f>[1]标准人!C80*0.71</f>
        <v>965.2876</v>
      </c>
      <c r="H402" s="52">
        <f>[1]标准人!D80*1.04</f>
        <v>18304</v>
      </c>
      <c r="I402" s="51">
        <v>0.4</v>
      </c>
      <c r="J402" s="51">
        <v>2</v>
      </c>
      <c r="K402" s="51">
        <v>1</v>
      </c>
      <c r="L402" s="52">
        <f t="shared" si="6"/>
        <v>88771.2262857143</v>
      </c>
    </row>
    <row r="403" ht="15.6" spans="1:12">
      <c r="A403" s="51">
        <v>5</v>
      </c>
      <c r="B403" s="51" t="s">
        <v>63</v>
      </c>
      <c r="C403" s="50" t="s">
        <v>22</v>
      </c>
      <c r="D403" s="51" t="s">
        <v>60</v>
      </c>
      <c r="E403" s="50">
        <v>80</v>
      </c>
      <c r="F403" s="50">
        <f>[1]标准人!B81*0.45</f>
        <v>1467</v>
      </c>
      <c r="G403" s="50">
        <f>[1]标准人!C81*0.71</f>
        <v>973.1118</v>
      </c>
      <c r="H403" s="52">
        <f>[1]标准人!D81*1.04</f>
        <v>18512</v>
      </c>
      <c r="I403" s="51">
        <v>0.4</v>
      </c>
      <c r="J403" s="51">
        <v>2</v>
      </c>
      <c r="K403" s="51">
        <v>1</v>
      </c>
      <c r="L403" s="52">
        <f t="shared" si="6"/>
        <v>89777.7255238095</v>
      </c>
    </row>
    <row r="404" ht="15.6" spans="1:12">
      <c r="A404" s="6"/>
      <c r="B404" s="6"/>
      <c r="C404" s="53"/>
      <c r="D404" s="54"/>
      <c r="E404" s="55"/>
      <c r="F404" s="56"/>
      <c r="G404" s="56"/>
      <c r="H404" s="56"/>
      <c r="I404" s="57"/>
      <c r="J404" s="57"/>
      <c r="K404" s="58"/>
      <c r="L404" s="59"/>
    </row>
    <row r="405" ht="15.6" spans="1:12">
      <c r="A405" s="6"/>
      <c r="B405" s="6"/>
      <c r="C405" s="60"/>
      <c r="D405" s="23"/>
      <c r="E405" s="61"/>
      <c r="F405" s="11"/>
      <c r="G405" s="11"/>
      <c r="H405" s="11"/>
      <c r="I405" s="8"/>
      <c r="J405" s="8"/>
      <c r="K405" s="62"/>
      <c r="L405" s="1"/>
    </row>
    <row r="406" ht="15.6" spans="1:12">
      <c r="A406" s="6"/>
      <c r="B406" s="6"/>
      <c r="C406" s="60"/>
      <c r="D406" s="23"/>
      <c r="E406" s="61"/>
      <c r="F406" s="11"/>
      <c r="G406" s="11"/>
      <c r="H406" s="11"/>
      <c r="I406" s="8"/>
      <c r="J406" s="8"/>
      <c r="K406" s="62"/>
      <c r="L406" s="1"/>
    </row>
    <row r="407" ht="15.6" spans="1:12">
      <c r="A407" s="6"/>
      <c r="B407" s="6"/>
      <c r="C407" s="60"/>
      <c r="D407" s="23"/>
      <c r="E407" s="61"/>
      <c r="F407" s="11"/>
      <c r="G407" s="11"/>
      <c r="H407" s="11"/>
      <c r="I407" s="8"/>
      <c r="J407" s="8"/>
      <c r="K407" s="62"/>
      <c r="L407" s="1"/>
    </row>
    <row r="408" ht="15.6" spans="1:12">
      <c r="A408" s="6"/>
      <c r="B408" s="6"/>
      <c r="C408" s="60"/>
      <c r="D408" s="23"/>
      <c r="E408" s="61"/>
      <c r="F408" s="11"/>
      <c r="G408" s="11"/>
      <c r="H408" s="11"/>
      <c r="I408" s="8"/>
      <c r="J408" s="8"/>
      <c r="K408" s="62"/>
      <c r="L408" s="1"/>
    </row>
    <row r="409" ht="15.6" spans="1:12">
      <c r="A409" s="6"/>
      <c r="B409" s="6"/>
      <c r="C409" s="60"/>
      <c r="D409" s="23"/>
      <c r="E409" s="61"/>
      <c r="F409" s="11"/>
      <c r="G409" s="11"/>
      <c r="H409" s="11"/>
      <c r="I409" s="8"/>
      <c r="J409" s="8"/>
      <c r="K409" s="62"/>
      <c r="L409" s="1"/>
    </row>
    <row r="410" ht="15.6" spans="1:12">
      <c r="A410" s="6"/>
      <c r="B410" s="6"/>
      <c r="C410" s="60"/>
      <c r="D410" s="23"/>
      <c r="E410" s="61"/>
      <c r="F410" s="11"/>
      <c r="G410" s="11"/>
      <c r="H410" s="11"/>
      <c r="I410" s="8"/>
      <c r="J410" s="8"/>
      <c r="K410" s="62"/>
      <c r="L410" s="1"/>
    </row>
    <row r="411" ht="15.6" spans="1:12">
      <c r="A411" s="6"/>
      <c r="B411" s="6"/>
      <c r="C411" s="60"/>
      <c r="D411" s="23"/>
      <c r="E411" s="61"/>
      <c r="F411" s="11"/>
      <c r="G411" s="11"/>
      <c r="H411" s="11"/>
      <c r="I411" s="8"/>
      <c r="J411" s="8"/>
      <c r="K411" s="62"/>
      <c r="L411" s="1"/>
    </row>
    <row r="412" ht="15.6" spans="1:12">
      <c r="A412" s="6"/>
      <c r="B412" s="6"/>
      <c r="C412" s="60"/>
      <c r="D412" s="23"/>
      <c r="E412" s="61"/>
      <c r="F412" s="11"/>
      <c r="G412" s="11"/>
      <c r="H412" s="11"/>
      <c r="I412" s="8"/>
      <c r="J412" s="8"/>
      <c r="K412" s="62"/>
      <c r="L412" s="1"/>
    </row>
    <row r="413" ht="15.6" spans="1:12">
      <c r="A413" s="6"/>
      <c r="B413" s="6"/>
      <c r="C413" s="60"/>
      <c r="D413" s="23"/>
      <c r="E413" s="61"/>
      <c r="F413" s="11"/>
      <c r="G413" s="11"/>
      <c r="H413" s="11"/>
      <c r="I413" s="8"/>
      <c r="J413" s="8"/>
      <c r="K413" s="62"/>
      <c r="L413" s="1"/>
    </row>
    <row r="414" ht="15.6" spans="1:12">
      <c r="A414" s="6"/>
      <c r="B414" s="6"/>
      <c r="C414" s="60"/>
      <c r="D414" s="23"/>
      <c r="E414" s="61"/>
      <c r="F414" s="11"/>
      <c r="G414" s="11"/>
      <c r="H414" s="11"/>
      <c r="I414" s="8"/>
      <c r="J414" s="8"/>
      <c r="K414" s="62"/>
      <c r="L414" s="1"/>
    </row>
    <row r="415" ht="15.6" spans="1:12">
      <c r="A415" s="6"/>
      <c r="B415" s="6"/>
      <c r="C415" s="60"/>
      <c r="D415" s="23"/>
      <c r="E415" s="61"/>
      <c r="F415" s="11"/>
      <c r="G415" s="11"/>
      <c r="H415" s="11"/>
      <c r="I415" s="8"/>
      <c r="J415" s="8"/>
      <c r="K415" s="62"/>
      <c r="L415" s="1"/>
    </row>
    <row r="416" ht="15.6" spans="1:12">
      <c r="A416" s="6"/>
      <c r="B416" s="6"/>
      <c r="C416" s="60"/>
      <c r="D416" s="23"/>
      <c r="E416" s="61"/>
      <c r="F416" s="11"/>
      <c r="G416" s="11"/>
      <c r="H416" s="11"/>
      <c r="I416" s="8"/>
      <c r="J416" s="8"/>
      <c r="K416" s="62"/>
      <c r="L416" s="1"/>
    </row>
    <row r="417" ht="15.6" spans="1:12">
      <c r="A417" s="6"/>
      <c r="B417" s="6"/>
      <c r="C417" s="60"/>
      <c r="D417" s="23"/>
      <c r="E417" s="61"/>
      <c r="F417" s="11"/>
      <c r="G417" s="11"/>
      <c r="H417" s="11"/>
      <c r="I417" s="8"/>
      <c r="J417" s="8"/>
      <c r="K417" s="62"/>
      <c r="L417" s="1"/>
    </row>
    <row r="418" ht="15.6" spans="1:12">
      <c r="A418" s="6"/>
      <c r="B418" s="6"/>
      <c r="C418" s="60"/>
      <c r="D418" s="23"/>
      <c r="E418" s="61"/>
      <c r="F418" s="11"/>
      <c r="G418" s="11"/>
      <c r="H418" s="11"/>
      <c r="I418" s="8"/>
      <c r="J418" s="8"/>
      <c r="K418" s="62"/>
      <c r="L418" s="1"/>
    </row>
    <row r="419" ht="15.6" spans="1:12">
      <c r="A419" s="6"/>
      <c r="B419" s="6"/>
      <c r="C419" s="60"/>
      <c r="D419" s="23"/>
      <c r="E419" s="61"/>
      <c r="F419" s="11"/>
      <c r="G419" s="11"/>
      <c r="H419" s="11"/>
      <c r="I419" s="8"/>
      <c r="J419" s="8"/>
      <c r="K419" s="62"/>
      <c r="L419" s="1"/>
    </row>
    <row r="420" ht="15.6" spans="1:12">
      <c r="A420" s="6"/>
      <c r="B420" s="6"/>
      <c r="C420" s="60"/>
      <c r="D420" s="23"/>
      <c r="E420" s="61"/>
      <c r="F420" s="11"/>
      <c r="G420" s="11"/>
      <c r="H420" s="11"/>
      <c r="I420" s="8"/>
      <c r="J420" s="8"/>
      <c r="K420" s="62"/>
      <c r="L420" s="1"/>
    </row>
    <row r="421" ht="15.6" spans="1:12">
      <c r="A421" s="6"/>
      <c r="B421" s="6"/>
      <c r="C421" s="60"/>
      <c r="D421" s="23"/>
      <c r="E421" s="61"/>
      <c r="F421" s="11"/>
      <c r="G421" s="11"/>
      <c r="H421" s="11"/>
      <c r="I421" s="8"/>
      <c r="J421" s="8"/>
      <c r="K421" s="62"/>
      <c r="L421" s="1"/>
    </row>
    <row r="422" ht="15.6" spans="1:12">
      <c r="A422" s="6"/>
      <c r="B422" s="6"/>
      <c r="C422" s="60"/>
      <c r="D422" s="23"/>
      <c r="E422" s="61"/>
      <c r="F422" s="11"/>
      <c r="G422" s="11"/>
      <c r="H422" s="11"/>
      <c r="I422" s="8"/>
      <c r="J422" s="8"/>
      <c r="K422" s="62"/>
      <c r="L422" s="1"/>
    </row>
    <row r="423" ht="15.6" spans="1:12">
      <c r="A423" s="6"/>
      <c r="B423" s="6"/>
      <c r="C423" s="60"/>
      <c r="D423" s="23"/>
      <c r="E423" s="61"/>
      <c r="F423" s="11"/>
      <c r="G423" s="11"/>
      <c r="H423" s="11"/>
      <c r="I423" s="8"/>
      <c r="J423" s="8"/>
      <c r="K423" s="62"/>
      <c r="L423" s="1"/>
    </row>
    <row r="424" ht="15.6" spans="1:12">
      <c r="A424" s="6"/>
      <c r="B424" s="6"/>
      <c r="C424" s="60"/>
      <c r="D424" s="23"/>
      <c r="E424" s="61"/>
      <c r="F424" s="11"/>
      <c r="G424" s="11"/>
      <c r="H424" s="11"/>
      <c r="I424" s="8"/>
      <c r="J424" s="8"/>
      <c r="K424" s="62"/>
      <c r="L424" s="1"/>
    </row>
    <row r="425" ht="15.6" spans="1:12">
      <c r="A425" s="6"/>
      <c r="B425" s="6"/>
      <c r="C425" s="60"/>
      <c r="D425" s="23"/>
      <c r="E425" s="61"/>
      <c r="F425" s="11"/>
      <c r="G425" s="11"/>
      <c r="H425" s="11"/>
      <c r="I425" s="8"/>
      <c r="J425" s="8"/>
      <c r="K425" s="62"/>
      <c r="L425" s="1"/>
    </row>
    <row r="426" ht="15.6" spans="1:12">
      <c r="A426" s="6"/>
      <c r="B426" s="6"/>
      <c r="C426" s="60"/>
      <c r="D426" s="23"/>
      <c r="E426" s="61"/>
      <c r="F426" s="11"/>
      <c r="G426" s="11"/>
      <c r="H426" s="11"/>
      <c r="I426" s="8"/>
      <c r="J426" s="8"/>
      <c r="K426" s="62"/>
      <c r="L426" s="1"/>
    </row>
    <row r="427" ht="15.6" spans="1:12">
      <c r="A427" s="6"/>
      <c r="B427" s="6"/>
      <c r="C427" s="60"/>
      <c r="D427" s="23"/>
      <c r="E427" s="61"/>
      <c r="F427" s="11"/>
      <c r="G427" s="11"/>
      <c r="H427" s="11"/>
      <c r="I427" s="8"/>
      <c r="J427" s="8"/>
      <c r="K427" s="62"/>
      <c r="L427" s="1"/>
    </row>
    <row r="428" ht="15.6" spans="1:12">
      <c r="A428" s="6"/>
      <c r="B428" s="6"/>
      <c r="C428" s="60"/>
      <c r="D428" s="23"/>
      <c r="E428" s="61"/>
      <c r="F428" s="11"/>
      <c r="G428" s="11"/>
      <c r="H428" s="11"/>
      <c r="I428" s="8"/>
      <c r="J428" s="8"/>
      <c r="K428" s="62"/>
      <c r="L428" s="1"/>
    </row>
    <row r="429" ht="15.6" spans="1:12">
      <c r="A429" s="6"/>
      <c r="B429" s="6"/>
      <c r="C429" s="60"/>
      <c r="D429" s="23"/>
      <c r="E429" s="61"/>
      <c r="F429" s="11"/>
      <c r="G429" s="11"/>
      <c r="H429" s="11"/>
      <c r="I429" s="8"/>
      <c r="J429" s="8"/>
      <c r="K429" s="62"/>
      <c r="L429" s="1"/>
    </row>
    <row r="430" ht="15.6" spans="1:12">
      <c r="A430" s="6"/>
      <c r="B430" s="6"/>
      <c r="C430" s="60"/>
      <c r="D430" s="23"/>
      <c r="E430" s="61"/>
      <c r="F430" s="11"/>
      <c r="G430" s="11"/>
      <c r="H430" s="11"/>
      <c r="I430" s="8"/>
      <c r="J430" s="8"/>
      <c r="K430" s="62"/>
      <c r="L430" s="1"/>
    </row>
    <row r="431" ht="15.6" spans="1:12">
      <c r="A431" s="6"/>
      <c r="B431" s="6"/>
      <c r="C431" s="60"/>
      <c r="D431" s="23"/>
      <c r="E431" s="61"/>
      <c r="F431" s="11"/>
      <c r="G431" s="11"/>
      <c r="H431" s="11"/>
      <c r="I431" s="8"/>
      <c r="J431" s="8"/>
      <c r="K431" s="62"/>
      <c r="L431" s="1"/>
    </row>
    <row r="432" ht="15.6" spans="1:12">
      <c r="A432" s="6"/>
      <c r="B432" s="6"/>
      <c r="C432" s="60"/>
      <c r="D432" s="23"/>
      <c r="E432" s="61"/>
      <c r="F432" s="11"/>
      <c r="G432" s="11"/>
      <c r="H432" s="11"/>
      <c r="I432" s="8"/>
      <c r="J432" s="8"/>
      <c r="K432" s="62"/>
      <c r="L432" s="1"/>
    </row>
    <row r="433" ht="15.6" spans="1:12">
      <c r="A433" s="6"/>
      <c r="B433" s="6"/>
      <c r="C433" s="60"/>
      <c r="D433" s="23"/>
      <c r="E433" s="61"/>
      <c r="F433" s="11"/>
      <c r="G433" s="11"/>
      <c r="H433" s="11"/>
      <c r="I433" s="8"/>
      <c r="J433" s="8"/>
      <c r="K433" s="62"/>
      <c r="L433" s="1"/>
    </row>
    <row r="434" ht="15.6" spans="1:12">
      <c r="A434" s="6"/>
      <c r="B434" s="6"/>
      <c r="C434" s="60"/>
      <c r="D434" s="23"/>
      <c r="E434" s="61"/>
      <c r="F434" s="11"/>
      <c r="G434" s="11"/>
      <c r="H434" s="11"/>
      <c r="I434" s="8"/>
      <c r="J434" s="8"/>
      <c r="K434" s="62"/>
      <c r="L434" s="1"/>
    </row>
    <row r="435" ht="15.6" spans="1:12">
      <c r="A435" s="6"/>
      <c r="B435" s="6"/>
      <c r="C435" s="60"/>
      <c r="D435" s="23"/>
      <c r="E435" s="61"/>
      <c r="F435" s="11"/>
      <c r="G435" s="11"/>
      <c r="H435" s="11"/>
      <c r="I435" s="8"/>
      <c r="J435" s="8"/>
      <c r="K435" s="62"/>
      <c r="L435" s="1"/>
    </row>
    <row r="436" ht="15.6" spans="1:12">
      <c r="A436" s="6"/>
      <c r="B436" s="6"/>
      <c r="C436" s="60"/>
      <c r="D436" s="23"/>
      <c r="E436" s="61"/>
      <c r="F436" s="11"/>
      <c r="G436" s="11"/>
      <c r="H436" s="11"/>
      <c r="I436" s="8"/>
      <c r="J436" s="8"/>
      <c r="K436" s="62"/>
      <c r="L436" s="1"/>
    </row>
    <row r="437" ht="15.6" spans="1:12">
      <c r="A437" s="6"/>
      <c r="B437" s="6"/>
      <c r="C437" s="60"/>
      <c r="D437" s="23"/>
      <c r="E437" s="61"/>
      <c r="F437" s="11"/>
      <c r="G437" s="11"/>
      <c r="H437" s="11"/>
      <c r="I437" s="8"/>
      <c r="J437" s="8"/>
      <c r="K437" s="62"/>
      <c r="L437" s="1"/>
    </row>
    <row r="438" ht="15.6" spans="1:12">
      <c r="A438" s="6"/>
      <c r="B438" s="6"/>
      <c r="C438" s="60"/>
      <c r="D438" s="23"/>
      <c r="E438" s="61"/>
      <c r="F438" s="11"/>
      <c r="G438" s="11"/>
      <c r="H438" s="11"/>
      <c r="I438" s="8"/>
      <c r="J438" s="8"/>
      <c r="K438" s="62"/>
      <c r="L438" s="1"/>
    </row>
    <row r="439" ht="15.6" spans="1:12">
      <c r="A439" s="6"/>
      <c r="B439" s="6"/>
      <c r="C439" s="60"/>
      <c r="D439" s="23"/>
      <c r="E439" s="61"/>
      <c r="F439" s="11"/>
      <c r="G439" s="11"/>
      <c r="H439" s="11"/>
      <c r="I439" s="8"/>
      <c r="J439" s="8"/>
      <c r="K439" s="62"/>
      <c r="L439" s="1"/>
    </row>
    <row r="440" ht="15.6" spans="1:12">
      <c r="A440" s="6"/>
      <c r="B440" s="6"/>
      <c r="C440" s="60"/>
      <c r="D440" s="23"/>
      <c r="E440" s="61"/>
      <c r="F440" s="11"/>
      <c r="G440" s="11"/>
      <c r="H440" s="11"/>
      <c r="I440" s="8"/>
      <c r="J440" s="8"/>
      <c r="K440" s="62"/>
      <c r="L440" s="1"/>
    </row>
    <row r="441" ht="15.6" spans="1:12">
      <c r="A441" s="6"/>
      <c r="B441" s="6"/>
      <c r="C441" s="60"/>
      <c r="D441" s="23"/>
      <c r="E441" s="61"/>
      <c r="F441" s="11"/>
      <c r="G441" s="11"/>
      <c r="H441" s="11"/>
      <c r="I441" s="8"/>
      <c r="J441" s="8"/>
      <c r="K441" s="62"/>
      <c r="L441" s="1"/>
    </row>
    <row r="442" ht="15.6" spans="1:12">
      <c r="A442" s="6"/>
      <c r="B442" s="6"/>
      <c r="C442" s="60"/>
      <c r="D442" s="23"/>
      <c r="E442" s="61"/>
      <c r="F442" s="11"/>
      <c r="G442" s="11"/>
      <c r="H442" s="11"/>
      <c r="I442" s="8"/>
      <c r="J442" s="8"/>
      <c r="K442" s="62"/>
      <c r="L442" s="1"/>
    </row>
    <row r="443" ht="15.6" spans="1:12">
      <c r="A443" s="6"/>
      <c r="B443" s="6"/>
      <c r="C443" s="60"/>
      <c r="D443" s="23"/>
      <c r="E443" s="61"/>
      <c r="F443" s="11"/>
      <c r="G443" s="11"/>
      <c r="H443" s="11"/>
      <c r="I443" s="8"/>
      <c r="J443" s="8"/>
      <c r="K443" s="62"/>
      <c r="L443" s="1"/>
    </row>
    <row r="444" ht="15.6" spans="1:12">
      <c r="A444" s="6"/>
      <c r="B444" s="6"/>
      <c r="C444" s="60"/>
      <c r="D444" s="23"/>
      <c r="E444" s="61"/>
      <c r="F444" s="11"/>
      <c r="G444" s="11"/>
      <c r="H444" s="11"/>
      <c r="I444" s="8"/>
      <c r="J444" s="8"/>
      <c r="K444" s="62"/>
      <c r="L444" s="1"/>
    </row>
    <row r="445" ht="15.6" spans="1:12">
      <c r="A445" s="6"/>
      <c r="B445" s="6"/>
      <c r="C445" s="60"/>
      <c r="D445" s="23"/>
      <c r="E445" s="61"/>
      <c r="F445" s="11"/>
      <c r="G445" s="11"/>
      <c r="H445" s="11"/>
      <c r="I445" s="8"/>
      <c r="J445" s="8"/>
      <c r="K445" s="62"/>
      <c r="L445" s="1"/>
    </row>
    <row r="446" ht="15.6" spans="1:12">
      <c r="A446" s="6"/>
      <c r="B446" s="6"/>
      <c r="C446" s="60"/>
      <c r="D446" s="23"/>
      <c r="E446" s="61"/>
      <c r="F446" s="11"/>
      <c r="G446" s="11"/>
      <c r="H446" s="11"/>
      <c r="I446" s="8"/>
      <c r="J446" s="8"/>
      <c r="K446" s="62"/>
      <c r="L446" s="1"/>
    </row>
    <row r="447" ht="15.6" spans="1:12">
      <c r="A447" s="6"/>
      <c r="B447" s="6"/>
      <c r="C447" s="60"/>
      <c r="D447" s="23"/>
      <c r="E447" s="61"/>
      <c r="F447" s="11"/>
      <c r="G447" s="11"/>
      <c r="H447" s="11"/>
      <c r="I447" s="8"/>
      <c r="J447" s="8"/>
      <c r="K447" s="62"/>
      <c r="L447" s="1"/>
    </row>
    <row r="448" ht="15.6" spans="1:12">
      <c r="A448" s="6"/>
      <c r="B448" s="6"/>
      <c r="C448" s="60"/>
      <c r="D448" s="23"/>
      <c r="E448" s="61"/>
      <c r="F448" s="11"/>
      <c r="G448" s="11"/>
      <c r="H448" s="11"/>
      <c r="I448" s="8"/>
      <c r="J448" s="8"/>
      <c r="K448" s="62"/>
      <c r="L448" s="1"/>
    </row>
    <row r="449" ht="15.6" spans="1:12">
      <c r="A449" s="6"/>
      <c r="B449" s="6"/>
      <c r="C449" s="60"/>
      <c r="D449" s="23"/>
      <c r="E449" s="61"/>
      <c r="F449" s="11"/>
      <c r="G449" s="11"/>
      <c r="H449" s="11"/>
      <c r="I449" s="8"/>
      <c r="J449" s="8"/>
      <c r="K449" s="62"/>
      <c r="L449" s="1"/>
    </row>
    <row r="450" ht="15.6" spans="1:12">
      <c r="A450" s="6"/>
      <c r="B450" s="6"/>
      <c r="C450" s="60"/>
      <c r="D450" s="23"/>
      <c r="E450" s="61"/>
      <c r="F450" s="11"/>
      <c r="G450" s="11"/>
      <c r="H450" s="11"/>
      <c r="I450" s="8"/>
      <c r="J450" s="8"/>
      <c r="K450" s="62"/>
      <c r="L450" s="1"/>
    </row>
    <row r="451" ht="15.6" spans="1:12">
      <c r="A451" s="6"/>
      <c r="B451" s="6"/>
      <c r="C451" s="60"/>
      <c r="D451" s="23"/>
      <c r="E451" s="61"/>
      <c r="F451" s="11"/>
      <c r="G451" s="11"/>
      <c r="H451" s="11"/>
      <c r="I451" s="8"/>
      <c r="J451" s="8"/>
      <c r="K451" s="62"/>
      <c r="L451" s="1"/>
    </row>
    <row r="452" ht="15.6" spans="1:12">
      <c r="A452" s="6"/>
      <c r="B452" s="6"/>
      <c r="C452" s="60"/>
      <c r="D452" s="23"/>
      <c r="E452" s="61"/>
      <c r="F452" s="11"/>
      <c r="G452" s="11"/>
      <c r="H452" s="11"/>
      <c r="I452" s="8"/>
      <c r="J452" s="8"/>
      <c r="K452" s="62"/>
      <c r="L452" s="1"/>
    </row>
    <row r="453" ht="15.6" spans="1:12">
      <c r="A453" s="6"/>
      <c r="B453" s="6"/>
      <c r="C453" s="60"/>
      <c r="D453" s="23"/>
      <c r="E453" s="61"/>
      <c r="F453" s="11"/>
      <c r="G453" s="11"/>
      <c r="H453" s="11"/>
      <c r="I453" s="8"/>
      <c r="J453" s="8"/>
      <c r="K453" s="62"/>
      <c r="L453" s="1"/>
    </row>
    <row r="454" ht="15.6" spans="1:12">
      <c r="A454" s="6"/>
      <c r="B454" s="6"/>
      <c r="C454" s="60"/>
      <c r="D454" s="23"/>
      <c r="E454" s="61"/>
      <c r="F454" s="11"/>
      <c r="G454" s="11"/>
      <c r="H454" s="11"/>
      <c r="I454" s="8"/>
      <c r="J454" s="8"/>
      <c r="K454" s="62"/>
      <c r="L454" s="1"/>
    </row>
    <row r="455" ht="15.6" spans="1:12">
      <c r="A455" s="6"/>
      <c r="B455" s="6"/>
      <c r="C455" s="60"/>
      <c r="D455" s="23"/>
      <c r="E455" s="61"/>
      <c r="F455" s="11"/>
      <c r="G455" s="11"/>
      <c r="H455" s="11"/>
      <c r="I455" s="8"/>
      <c r="J455" s="8"/>
      <c r="K455" s="62"/>
      <c r="L455" s="1"/>
    </row>
    <row r="456" ht="15.6" spans="1:12">
      <c r="A456" s="6"/>
      <c r="B456" s="6"/>
      <c r="C456" s="60"/>
      <c r="D456" s="23"/>
      <c r="E456" s="61"/>
      <c r="F456" s="11"/>
      <c r="G456" s="11"/>
      <c r="H456" s="11"/>
      <c r="I456" s="8"/>
      <c r="J456" s="8"/>
      <c r="K456" s="62"/>
      <c r="L456" s="1"/>
    </row>
    <row r="457" ht="15.6" spans="1:12">
      <c r="A457" s="6"/>
      <c r="B457" s="6"/>
      <c r="C457" s="60"/>
      <c r="D457" s="23"/>
      <c r="E457" s="61"/>
      <c r="F457" s="11"/>
      <c r="G457" s="11"/>
      <c r="H457" s="11"/>
      <c r="I457" s="8"/>
      <c r="J457" s="8"/>
      <c r="K457" s="62"/>
      <c r="L457" s="1"/>
    </row>
    <row r="458" ht="15.6" spans="1:12">
      <c r="A458" s="6"/>
      <c r="B458" s="6"/>
      <c r="C458" s="60"/>
      <c r="D458" s="23"/>
      <c r="E458" s="61"/>
      <c r="F458" s="11"/>
      <c r="G458" s="11"/>
      <c r="H458" s="11"/>
      <c r="I458" s="8"/>
      <c r="J458" s="8"/>
      <c r="K458" s="62"/>
      <c r="L458" s="1"/>
    </row>
    <row r="459" ht="15.6" spans="1:12">
      <c r="A459" s="6"/>
      <c r="B459" s="6"/>
      <c r="C459" s="60"/>
      <c r="D459" s="23"/>
      <c r="E459" s="61"/>
      <c r="F459" s="11"/>
      <c r="G459" s="11"/>
      <c r="H459" s="11"/>
      <c r="I459" s="8"/>
      <c r="J459" s="8"/>
      <c r="K459" s="62"/>
      <c r="L459" s="1"/>
    </row>
    <row r="460" ht="15.6" spans="1:12">
      <c r="A460" s="6"/>
      <c r="B460" s="6"/>
      <c r="C460" s="60"/>
      <c r="D460" s="23"/>
      <c r="E460" s="61"/>
      <c r="F460" s="11"/>
      <c r="G460" s="11"/>
      <c r="H460" s="11"/>
      <c r="I460" s="8"/>
      <c r="J460" s="8"/>
      <c r="K460" s="62"/>
      <c r="L460" s="1"/>
    </row>
    <row r="461" ht="15.6" spans="1:12">
      <c r="A461" s="6"/>
      <c r="B461" s="6"/>
      <c r="C461" s="60"/>
      <c r="D461" s="23"/>
      <c r="E461" s="61"/>
      <c r="F461" s="11"/>
      <c r="G461" s="11"/>
      <c r="H461" s="11"/>
      <c r="I461" s="8"/>
      <c r="J461" s="8"/>
      <c r="K461" s="62"/>
      <c r="L461" s="1"/>
    </row>
    <row r="462" ht="15.6" spans="1:12">
      <c r="A462" s="6"/>
      <c r="B462" s="6"/>
      <c r="C462" s="60"/>
      <c r="D462" s="23"/>
      <c r="E462" s="61"/>
      <c r="F462" s="11"/>
      <c r="G462" s="11"/>
      <c r="H462" s="11"/>
      <c r="I462" s="8"/>
      <c r="J462" s="8"/>
      <c r="K462" s="62"/>
      <c r="L462" s="1"/>
    </row>
    <row r="463" ht="15.6" spans="1:12">
      <c r="A463" s="6"/>
      <c r="B463" s="6"/>
      <c r="C463" s="60"/>
      <c r="D463" s="23"/>
      <c r="E463" s="61"/>
      <c r="F463" s="11"/>
      <c r="G463" s="11"/>
      <c r="H463" s="11"/>
      <c r="I463" s="8"/>
      <c r="J463" s="8"/>
      <c r="K463" s="62"/>
      <c r="L463" s="1"/>
    </row>
    <row r="464" ht="15.6" spans="1:12">
      <c r="A464" s="6"/>
      <c r="B464" s="6"/>
      <c r="C464" s="60"/>
      <c r="D464" s="23"/>
      <c r="E464" s="61"/>
      <c r="F464" s="11"/>
      <c r="G464" s="11"/>
      <c r="H464" s="11"/>
      <c r="I464" s="8"/>
      <c r="J464" s="8"/>
      <c r="K464" s="62"/>
      <c r="L464" s="1"/>
    </row>
    <row r="465" ht="15.6" spans="1:12">
      <c r="A465" s="6"/>
      <c r="B465" s="6"/>
      <c r="C465" s="60"/>
      <c r="D465" s="23"/>
      <c r="E465" s="61"/>
      <c r="F465" s="11"/>
      <c r="G465" s="11"/>
      <c r="H465" s="11"/>
      <c r="I465" s="8"/>
      <c r="J465" s="8"/>
      <c r="K465" s="62"/>
      <c r="L465" s="1"/>
    </row>
    <row r="466" ht="15.6" spans="1:12">
      <c r="A466" s="6"/>
      <c r="B466" s="6"/>
      <c r="C466" s="60"/>
      <c r="D466" s="23"/>
      <c r="E466" s="61"/>
      <c r="F466" s="11"/>
      <c r="G466" s="11"/>
      <c r="H466" s="11"/>
      <c r="I466" s="8"/>
      <c r="J466" s="8"/>
      <c r="K466" s="62"/>
      <c r="L466" s="1"/>
    </row>
    <row r="467" ht="15.6" spans="1:12">
      <c r="A467" s="6"/>
      <c r="B467" s="6"/>
      <c r="C467" s="60"/>
      <c r="D467" s="23"/>
      <c r="E467" s="61"/>
      <c r="F467" s="11"/>
      <c r="G467" s="11"/>
      <c r="H467" s="11"/>
      <c r="I467" s="8"/>
      <c r="J467" s="8"/>
      <c r="K467" s="62"/>
      <c r="L467" s="1"/>
    </row>
    <row r="468" ht="15.6" spans="1:12">
      <c r="A468" s="6"/>
      <c r="B468" s="6"/>
      <c r="C468" s="60"/>
      <c r="D468" s="23"/>
      <c r="E468" s="61"/>
      <c r="F468" s="11"/>
      <c r="G468" s="11"/>
      <c r="H468" s="11"/>
      <c r="I468" s="8"/>
      <c r="J468" s="8"/>
      <c r="K468" s="62"/>
      <c r="L468" s="1"/>
    </row>
    <row r="469" ht="15.6" spans="1:12">
      <c r="A469" s="6"/>
      <c r="B469" s="6"/>
      <c r="C469" s="60"/>
      <c r="D469" s="23"/>
      <c r="E469" s="61"/>
      <c r="F469" s="11"/>
      <c r="G469" s="11"/>
      <c r="H469" s="11"/>
      <c r="I469" s="8"/>
      <c r="J469" s="8"/>
      <c r="K469" s="62"/>
      <c r="L469" s="1"/>
    </row>
    <row r="470" ht="15.6" spans="1:12">
      <c r="A470" s="6"/>
      <c r="B470" s="6"/>
      <c r="C470" s="60"/>
      <c r="D470" s="23"/>
      <c r="E470" s="61"/>
      <c r="F470" s="11"/>
      <c r="G470" s="11"/>
      <c r="H470" s="11"/>
      <c r="I470" s="8"/>
      <c r="J470" s="8"/>
      <c r="K470" s="62"/>
      <c r="L470" s="1"/>
    </row>
    <row r="471" ht="15.6" spans="1:12">
      <c r="A471" s="6"/>
      <c r="B471" s="6"/>
      <c r="C471" s="60"/>
      <c r="D471" s="23"/>
      <c r="E471" s="61"/>
      <c r="F471" s="11"/>
      <c r="G471" s="11"/>
      <c r="H471" s="11"/>
      <c r="I471" s="8"/>
      <c r="J471" s="8"/>
      <c r="K471" s="62"/>
      <c r="L471" s="1"/>
    </row>
    <row r="472" ht="15.6" spans="1:12">
      <c r="A472" s="6"/>
      <c r="B472" s="6"/>
      <c r="C472" s="60"/>
      <c r="D472" s="23"/>
      <c r="E472" s="61"/>
      <c r="F472" s="11"/>
      <c r="G472" s="11"/>
      <c r="H472" s="11"/>
      <c r="I472" s="8"/>
      <c r="J472" s="8"/>
      <c r="K472" s="62"/>
      <c r="L472" s="1"/>
    </row>
    <row r="473" ht="15.6" spans="1:12">
      <c r="A473" s="6"/>
      <c r="B473" s="6"/>
      <c r="C473" s="60"/>
      <c r="D473" s="23"/>
      <c r="E473" s="61"/>
      <c r="F473" s="11"/>
      <c r="G473" s="11"/>
      <c r="H473" s="11"/>
      <c r="I473" s="8"/>
      <c r="J473" s="8"/>
      <c r="K473" s="62"/>
      <c r="L473" s="1"/>
    </row>
    <row r="474" ht="15.6" spans="1:12">
      <c r="A474" s="6"/>
      <c r="B474" s="6"/>
      <c r="C474" s="60"/>
      <c r="D474" s="23"/>
      <c r="E474" s="61"/>
      <c r="F474" s="11"/>
      <c r="G474" s="11"/>
      <c r="H474" s="11"/>
      <c r="I474" s="8"/>
      <c r="J474" s="8"/>
      <c r="K474" s="62"/>
      <c r="L474" s="1"/>
    </row>
    <row r="475" ht="15.6" spans="1:12">
      <c r="A475" s="6"/>
      <c r="B475" s="6"/>
      <c r="C475" s="60"/>
      <c r="D475" s="23"/>
      <c r="E475" s="61"/>
      <c r="F475" s="11"/>
      <c r="G475" s="11"/>
      <c r="H475" s="11"/>
      <c r="I475" s="8"/>
      <c r="J475" s="8"/>
      <c r="K475" s="62"/>
      <c r="L475" s="1"/>
    </row>
    <row r="476" ht="15.6" spans="1:12">
      <c r="A476" s="6"/>
      <c r="B476" s="6"/>
      <c r="C476" s="60"/>
      <c r="D476" s="23"/>
      <c r="E476" s="61"/>
      <c r="F476" s="11"/>
      <c r="G476" s="11"/>
      <c r="H476" s="11"/>
      <c r="I476" s="8"/>
      <c r="J476" s="8"/>
      <c r="K476" s="62"/>
      <c r="L476" s="1"/>
    </row>
    <row r="477" ht="15.6" spans="1:12">
      <c r="A477" s="6"/>
      <c r="B477" s="6"/>
      <c r="C477" s="60"/>
      <c r="D477" s="23"/>
      <c r="E477" s="61"/>
      <c r="F477" s="11"/>
      <c r="G477" s="11"/>
      <c r="H477" s="11"/>
      <c r="I477" s="8"/>
      <c r="J477" s="8"/>
      <c r="K477" s="62"/>
      <c r="L477" s="1"/>
    </row>
    <row r="478" ht="15.6" spans="1:12">
      <c r="A478" s="6"/>
      <c r="B478" s="6"/>
      <c r="C478" s="60"/>
      <c r="D478" s="23"/>
      <c r="E478" s="61"/>
      <c r="F478" s="11"/>
      <c r="G478" s="11"/>
      <c r="H478" s="11"/>
      <c r="I478" s="8"/>
      <c r="J478" s="8"/>
      <c r="K478" s="62"/>
      <c r="L478" s="1"/>
    </row>
    <row r="479" ht="15.6" spans="1:12">
      <c r="A479" s="6"/>
      <c r="B479" s="6"/>
      <c r="C479" s="60"/>
      <c r="D479" s="23"/>
      <c r="E479" s="61"/>
      <c r="F479" s="11"/>
      <c r="G479" s="11"/>
      <c r="H479" s="11"/>
      <c r="I479" s="8"/>
      <c r="J479" s="8"/>
      <c r="K479" s="62"/>
      <c r="L479" s="1"/>
    </row>
    <row r="480" ht="15.6" spans="1:12">
      <c r="A480" s="6"/>
      <c r="B480" s="6"/>
      <c r="C480" s="60"/>
      <c r="D480" s="23"/>
      <c r="E480" s="61"/>
      <c r="F480" s="11"/>
      <c r="G480" s="11"/>
      <c r="H480" s="11"/>
      <c r="I480" s="8"/>
      <c r="J480" s="8"/>
      <c r="K480" s="62"/>
      <c r="L480" s="1"/>
    </row>
    <row r="481" ht="15.6" spans="1:12">
      <c r="A481" s="6"/>
      <c r="B481" s="6"/>
      <c r="C481" s="60"/>
      <c r="D481" s="23"/>
      <c r="E481" s="61"/>
      <c r="F481" s="11"/>
      <c r="G481" s="11"/>
      <c r="H481" s="11"/>
      <c r="I481" s="8"/>
      <c r="J481" s="8"/>
      <c r="K481" s="62"/>
      <c r="L481" s="1"/>
    </row>
    <row r="482" ht="15.6" spans="1:12">
      <c r="A482" s="6"/>
      <c r="B482" s="6"/>
      <c r="C482" s="60"/>
      <c r="D482" s="23"/>
      <c r="E482" s="61"/>
      <c r="F482" s="11"/>
      <c r="G482" s="11"/>
      <c r="H482" s="11"/>
      <c r="I482" s="8"/>
      <c r="J482" s="8"/>
      <c r="K482" s="62"/>
      <c r="L482" s="1"/>
    </row>
    <row r="483" ht="15.6" spans="1:12">
      <c r="A483" s="6"/>
      <c r="B483" s="6"/>
      <c r="C483" s="60"/>
      <c r="D483" s="23"/>
      <c r="E483" s="61"/>
      <c r="F483" s="11"/>
      <c r="G483" s="11"/>
      <c r="H483" s="11"/>
      <c r="I483" s="8"/>
      <c r="J483" s="8"/>
      <c r="K483" s="62"/>
      <c r="L483" s="1"/>
    </row>
    <row r="484" ht="15.6" spans="1:12">
      <c r="A484" s="6"/>
      <c r="B484" s="6"/>
      <c r="C484" s="60"/>
      <c r="D484" s="23"/>
      <c r="E484" s="61"/>
      <c r="F484" s="11"/>
      <c r="G484" s="11"/>
      <c r="H484" s="11"/>
      <c r="I484" s="8"/>
      <c r="J484" s="8"/>
      <c r="K484" s="62"/>
      <c r="L484" s="1"/>
    </row>
    <row r="485" ht="15.6" spans="1:12">
      <c r="A485" s="6"/>
      <c r="B485" s="6"/>
      <c r="C485" s="60"/>
      <c r="D485" s="23"/>
      <c r="E485" s="61"/>
      <c r="F485" s="11"/>
      <c r="G485" s="11"/>
      <c r="H485" s="11"/>
      <c r="I485" s="8"/>
      <c r="J485" s="8"/>
      <c r="K485" s="62"/>
      <c r="L485" s="1"/>
    </row>
    <row r="486" ht="15.6" spans="1:12">
      <c r="A486" s="6"/>
      <c r="B486" s="6"/>
      <c r="C486" s="60"/>
      <c r="D486" s="23"/>
      <c r="E486" s="61"/>
      <c r="F486" s="11"/>
      <c r="G486" s="11"/>
      <c r="H486" s="11"/>
      <c r="I486" s="8"/>
      <c r="J486" s="8"/>
      <c r="K486" s="62"/>
      <c r="L486" s="1"/>
    </row>
    <row r="487" ht="15.6" spans="1:12">
      <c r="A487" s="6"/>
      <c r="B487" s="6"/>
      <c r="C487" s="60"/>
      <c r="D487" s="23"/>
      <c r="E487" s="61"/>
      <c r="F487" s="11"/>
      <c r="G487" s="11"/>
      <c r="H487" s="11"/>
      <c r="I487" s="8"/>
      <c r="J487" s="8"/>
      <c r="K487" s="62"/>
      <c r="L487" s="1"/>
    </row>
    <row r="488" ht="15.6" spans="1:12">
      <c r="A488" s="6"/>
      <c r="B488" s="6"/>
      <c r="C488" s="60"/>
      <c r="D488" s="23"/>
      <c r="E488" s="61"/>
      <c r="F488" s="11"/>
      <c r="G488" s="11"/>
      <c r="H488" s="11"/>
      <c r="I488" s="8"/>
      <c r="J488" s="8"/>
      <c r="K488" s="62"/>
      <c r="L488" s="1"/>
    </row>
    <row r="489" ht="15.6" spans="1:12">
      <c r="A489" s="6"/>
      <c r="B489" s="6"/>
      <c r="C489" s="60"/>
      <c r="D489" s="23"/>
      <c r="E489" s="61"/>
      <c r="F489" s="11"/>
      <c r="G489" s="11"/>
      <c r="H489" s="11"/>
      <c r="I489" s="8"/>
      <c r="J489" s="8"/>
      <c r="K489" s="62"/>
      <c r="L489" s="1"/>
    </row>
    <row r="490" ht="15.6" spans="1:12">
      <c r="A490" s="6"/>
      <c r="B490" s="6"/>
      <c r="C490" s="60"/>
      <c r="D490" s="23"/>
      <c r="E490" s="61"/>
      <c r="F490" s="11"/>
      <c r="G490" s="11"/>
      <c r="H490" s="11"/>
      <c r="I490" s="8"/>
      <c r="J490" s="8"/>
      <c r="K490" s="62"/>
      <c r="L490" s="1"/>
    </row>
    <row r="491" ht="15.6" spans="1:12">
      <c r="A491" s="6"/>
      <c r="B491" s="6"/>
      <c r="C491" s="60"/>
      <c r="D491" s="23"/>
      <c r="E491" s="61"/>
      <c r="F491" s="11"/>
      <c r="G491" s="11"/>
      <c r="H491" s="11"/>
      <c r="I491" s="8"/>
      <c r="J491" s="8"/>
      <c r="K491" s="62"/>
      <c r="L491" s="1"/>
    </row>
    <row r="492" ht="15.6" spans="1:12">
      <c r="A492" s="6"/>
      <c r="B492" s="6"/>
      <c r="C492" s="60"/>
      <c r="D492" s="23"/>
      <c r="E492" s="61"/>
      <c r="F492" s="11"/>
      <c r="G492" s="11"/>
      <c r="H492" s="11"/>
      <c r="I492" s="8"/>
      <c r="J492" s="8"/>
      <c r="K492" s="62"/>
      <c r="L492" s="1"/>
    </row>
    <row r="493" ht="15.6" spans="1:12">
      <c r="A493" s="6"/>
      <c r="B493" s="6"/>
      <c r="C493" s="60"/>
      <c r="D493" s="23"/>
      <c r="E493" s="61"/>
      <c r="F493" s="11"/>
      <c r="G493" s="11"/>
      <c r="H493" s="11"/>
      <c r="I493" s="8"/>
      <c r="J493" s="8"/>
      <c r="K493" s="62"/>
      <c r="L493" s="1"/>
    </row>
    <row r="494" ht="15.6" spans="1:12">
      <c r="A494" s="6"/>
      <c r="B494" s="6"/>
      <c r="C494" s="60"/>
      <c r="D494" s="23"/>
      <c r="E494" s="61"/>
      <c r="F494" s="11"/>
      <c r="G494" s="11"/>
      <c r="H494" s="11"/>
      <c r="I494" s="8"/>
      <c r="J494" s="8"/>
      <c r="K494" s="62"/>
      <c r="L494" s="1"/>
    </row>
    <row r="495" ht="15.6" spans="1:12">
      <c r="A495" s="6"/>
      <c r="B495" s="6"/>
      <c r="C495" s="60"/>
      <c r="D495" s="23"/>
      <c r="E495" s="61"/>
      <c r="F495" s="11"/>
      <c r="G495" s="11"/>
      <c r="H495" s="11"/>
      <c r="I495" s="8"/>
      <c r="J495" s="8"/>
      <c r="K495" s="62"/>
      <c r="L495" s="1"/>
    </row>
    <row r="496" ht="15.6" spans="1:12">
      <c r="A496" s="6"/>
      <c r="B496" s="6"/>
      <c r="C496" s="60"/>
      <c r="D496" s="23"/>
      <c r="E496" s="61"/>
      <c r="F496" s="11"/>
      <c r="G496" s="11"/>
      <c r="H496" s="11"/>
      <c r="I496" s="8"/>
      <c r="J496" s="8"/>
      <c r="K496" s="62"/>
      <c r="L496" s="1"/>
    </row>
    <row r="497" ht="15.6" spans="1:12">
      <c r="A497" s="6"/>
      <c r="B497" s="6"/>
      <c r="C497" s="60"/>
      <c r="D497" s="23"/>
      <c r="E497" s="61"/>
      <c r="F497" s="11"/>
      <c r="G497" s="11"/>
      <c r="H497" s="11"/>
      <c r="I497" s="8"/>
      <c r="J497" s="8"/>
      <c r="K497" s="62"/>
      <c r="L497" s="1"/>
    </row>
    <row r="498" ht="15.6" spans="1:12">
      <c r="A498" s="6"/>
      <c r="B498" s="6"/>
      <c r="C498" s="60"/>
      <c r="D498" s="23"/>
      <c r="E498" s="61"/>
      <c r="F498" s="11"/>
      <c r="G498" s="11"/>
      <c r="H498" s="11"/>
      <c r="I498" s="8"/>
      <c r="J498" s="8"/>
      <c r="K498" s="62"/>
      <c r="L498" s="1"/>
    </row>
    <row r="499" ht="15.6" spans="1:12">
      <c r="A499" s="6"/>
      <c r="B499" s="6"/>
      <c r="C499" s="60"/>
      <c r="D499" s="23"/>
      <c r="E499" s="61"/>
      <c r="F499" s="11"/>
      <c r="G499" s="11"/>
      <c r="H499" s="11"/>
      <c r="I499" s="8"/>
      <c r="J499" s="8"/>
      <c r="K499" s="62"/>
      <c r="L499" s="1"/>
    </row>
    <row r="500" ht="15.6" spans="1:12">
      <c r="A500" s="6"/>
      <c r="B500" s="6"/>
      <c r="C500" s="60"/>
      <c r="D500" s="23"/>
      <c r="E500" s="61"/>
      <c r="F500" s="11"/>
      <c r="G500" s="11"/>
      <c r="H500" s="11"/>
      <c r="I500" s="8"/>
      <c r="J500" s="8"/>
      <c r="K500" s="62"/>
      <c r="L500" s="1"/>
    </row>
    <row r="501" ht="15.6" spans="1:12">
      <c r="A501" s="6"/>
      <c r="B501" s="6"/>
      <c r="C501" s="60"/>
      <c r="D501" s="23"/>
      <c r="E501" s="61"/>
      <c r="F501" s="11"/>
      <c r="G501" s="11"/>
      <c r="H501" s="11"/>
      <c r="I501" s="8"/>
      <c r="J501" s="8"/>
      <c r="K501" s="62"/>
      <c r="L501" s="1"/>
    </row>
    <row r="502" ht="15.6" spans="1:12">
      <c r="A502" s="6"/>
      <c r="B502" s="6"/>
      <c r="C502" s="60"/>
      <c r="D502" s="23"/>
      <c r="E502" s="61"/>
      <c r="F502" s="11"/>
      <c r="G502" s="11"/>
      <c r="H502" s="11"/>
      <c r="I502" s="8"/>
      <c r="J502" s="8"/>
      <c r="K502" s="62"/>
      <c r="L502" s="1"/>
    </row>
    <row r="503" ht="15.6" spans="1:12">
      <c r="A503" s="6"/>
      <c r="B503" s="6"/>
      <c r="C503" s="60"/>
      <c r="D503" s="23"/>
      <c r="E503" s="61"/>
      <c r="F503" s="11"/>
      <c r="G503" s="11"/>
      <c r="H503" s="11"/>
      <c r="I503" s="8"/>
      <c r="J503" s="8"/>
      <c r="K503" s="62"/>
      <c r="L503" s="1"/>
    </row>
    <row r="504" ht="15.6" spans="1:12">
      <c r="A504" s="6"/>
      <c r="B504" s="6"/>
      <c r="C504" s="60"/>
      <c r="D504" s="23"/>
      <c r="E504" s="61"/>
      <c r="F504" s="11"/>
      <c r="G504" s="11"/>
      <c r="H504" s="11"/>
      <c r="I504" s="8"/>
      <c r="J504" s="8"/>
      <c r="K504" s="62"/>
      <c r="L504" s="1"/>
    </row>
    <row r="505" ht="15.6" spans="1:12">
      <c r="A505" s="6"/>
      <c r="B505" s="6"/>
      <c r="C505" s="60"/>
      <c r="D505" s="23"/>
      <c r="E505" s="61"/>
      <c r="F505" s="11"/>
      <c r="G505" s="11"/>
      <c r="H505" s="11"/>
      <c r="I505" s="8"/>
      <c r="J505" s="8"/>
      <c r="K505" s="62"/>
      <c r="L505" s="1"/>
    </row>
    <row r="506" ht="15.6" spans="1:12">
      <c r="A506" s="6"/>
      <c r="B506" s="6"/>
      <c r="C506" s="60"/>
      <c r="D506" s="23"/>
      <c r="E506" s="61"/>
      <c r="F506" s="11"/>
      <c r="G506" s="11"/>
      <c r="H506" s="11"/>
      <c r="I506" s="8"/>
      <c r="J506" s="8"/>
      <c r="K506" s="62"/>
      <c r="L506" s="1"/>
    </row>
    <row r="507" ht="15.6" spans="1:12">
      <c r="A507" s="6"/>
      <c r="B507" s="6"/>
      <c r="C507" s="60"/>
      <c r="D507" s="23"/>
      <c r="E507" s="61"/>
      <c r="F507" s="11"/>
      <c r="G507" s="11"/>
      <c r="H507" s="11"/>
      <c r="I507" s="8"/>
      <c r="J507" s="8"/>
      <c r="K507" s="62"/>
      <c r="L507" s="1"/>
    </row>
    <row r="508" ht="15.6" spans="1:12">
      <c r="A508" s="6"/>
      <c r="B508" s="6"/>
      <c r="C508" s="60"/>
      <c r="D508" s="23"/>
      <c r="E508" s="61"/>
      <c r="F508" s="11"/>
      <c r="G508" s="11"/>
      <c r="H508" s="11"/>
      <c r="I508" s="8"/>
      <c r="J508" s="8"/>
      <c r="K508" s="62"/>
      <c r="L508" s="1"/>
    </row>
    <row r="509" ht="15.6" spans="1:12">
      <c r="A509" s="6"/>
      <c r="B509" s="6"/>
      <c r="C509" s="60"/>
      <c r="D509" s="23"/>
      <c r="E509" s="61"/>
      <c r="F509" s="11"/>
      <c r="G509" s="11"/>
      <c r="H509" s="11"/>
      <c r="I509" s="8"/>
      <c r="J509" s="8"/>
      <c r="K509" s="62"/>
      <c r="L509" s="1"/>
    </row>
    <row r="510" ht="15.6" spans="1:12">
      <c r="A510" s="6"/>
      <c r="B510" s="6"/>
      <c r="C510" s="60"/>
      <c r="D510" s="23"/>
      <c r="E510" s="61"/>
      <c r="F510" s="11"/>
      <c r="G510" s="11"/>
      <c r="H510" s="11"/>
      <c r="I510" s="8"/>
      <c r="J510" s="8"/>
      <c r="K510" s="62"/>
      <c r="L510" s="1"/>
    </row>
    <row r="511" ht="15.6" spans="1:12">
      <c r="A511" s="6"/>
      <c r="B511" s="6"/>
      <c r="C511" s="60"/>
      <c r="D511" s="23"/>
      <c r="E511" s="61"/>
      <c r="F511" s="11"/>
      <c r="G511" s="11"/>
      <c r="H511" s="11"/>
      <c r="I511" s="8"/>
      <c r="J511" s="8"/>
      <c r="K511" s="62"/>
      <c r="L511" s="1"/>
    </row>
    <row r="512" ht="15.6" spans="1:12">
      <c r="A512" s="6"/>
      <c r="B512" s="6"/>
      <c r="C512" s="60"/>
      <c r="D512" s="23"/>
      <c r="E512" s="61"/>
      <c r="F512" s="11"/>
      <c r="G512" s="11"/>
      <c r="H512" s="11"/>
      <c r="I512" s="8"/>
      <c r="J512" s="8"/>
      <c r="K512" s="62"/>
      <c r="L512" s="1"/>
    </row>
    <row r="513" ht="15.6" spans="1:12">
      <c r="A513" s="6"/>
      <c r="B513" s="6"/>
      <c r="C513" s="60"/>
      <c r="D513" s="23"/>
      <c r="E513" s="61"/>
      <c r="F513" s="11"/>
      <c r="G513" s="11"/>
      <c r="H513" s="11"/>
      <c r="I513" s="8"/>
      <c r="J513" s="8"/>
      <c r="K513" s="62"/>
      <c r="L513" s="1"/>
    </row>
    <row r="514" ht="15.6" spans="1:12">
      <c r="A514" s="6"/>
      <c r="B514" s="6"/>
      <c r="C514" s="60"/>
      <c r="D514" s="23"/>
      <c r="E514" s="61"/>
      <c r="F514" s="11"/>
      <c r="G514" s="11"/>
      <c r="H514" s="11"/>
      <c r="I514" s="8"/>
      <c r="J514" s="8"/>
      <c r="K514" s="62"/>
      <c r="L514" s="1"/>
    </row>
    <row r="515" ht="15.6" spans="1:12">
      <c r="A515" s="6"/>
      <c r="B515" s="6"/>
      <c r="C515" s="60"/>
      <c r="D515" s="23"/>
      <c r="E515" s="61"/>
      <c r="F515" s="11"/>
      <c r="G515" s="11"/>
      <c r="H515" s="11"/>
      <c r="I515" s="8"/>
      <c r="J515" s="8"/>
      <c r="K515" s="62"/>
      <c r="L515" s="1"/>
    </row>
    <row r="516" ht="15.6" spans="1:12">
      <c r="A516" s="6"/>
      <c r="B516" s="6"/>
      <c r="C516" s="60"/>
      <c r="D516" s="23"/>
      <c r="E516" s="61"/>
      <c r="F516" s="11"/>
      <c r="G516" s="11"/>
      <c r="H516" s="11"/>
      <c r="I516" s="8"/>
      <c r="J516" s="8"/>
      <c r="K516" s="62"/>
      <c r="L516" s="1"/>
    </row>
    <row r="517" ht="15.6" spans="1:12">
      <c r="A517" s="6"/>
      <c r="B517" s="6"/>
      <c r="C517" s="60"/>
      <c r="D517" s="23"/>
      <c r="E517" s="61"/>
      <c r="F517" s="11"/>
      <c r="G517" s="11"/>
      <c r="H517" s="11"/>
      <c r="I517" s="8"/>
      <c r="J517" s="8"/>
      <c r="K517" s="62"/>
      <c r="L517" s="1"/>
    </row>
    <row r="518" ht="15.6" spans="1:12">
      <c r="A518" s="6"/>
      <c r="B518" s="6"/>
      <c r="C518" s="60"/>
      <c r="D518" s="23"/>
      <c r="E518" s="61"/>
      <c r="F518" s="11"/>
      <c r="G518" s="11"/>
      <c r="H518" s="11"/>
      <c r="I518" s="8"/>
      <c r="J518" s="8"/>
      <c r="K518" s="62"/>
      <c r="L518" s="1"/>
    </row>
    <row r="519" ht="15.6" spans="1:12">
      <c r="A519" s="6"/>
      <c r="B519" s="6"/>
      <c r="C519" s="60"/>
      <c r="D519" s="23"/>
      <c r="E519" s="61"/>
      <c r="F519" s="11"/>
      <c r="G519" s="11"/>
      <c r="H519" s="11"/>
      <c r="I519" s="8"/>
      <c r="J519" s="8"/>
      <c r="K519" s="62"/>
      <c r="L519" s="1"/>
    </row>
    <row r="520" ht="15.6" spans="1:12">
      <c r="A520" s="6"/>
      <c r="B520" s="6"/>
      <c r="C520" s="60"/>
      <c r="D520" s="23"/>
      <c r="E520" s="61"/>
      <c r="F520" s="11"/>
      <c r="G520" s="11"/>
      <c r="H520" s="11"/>
      <c r="I520" s="8"/>
      <c r="J520" s="8"/>
      <c r="K520" s="62"/>
      <c r="L520" s="1"/>
    </row>
    <row r="521" ht="15.6" spans="1:12">
      <c r="A521" s="6"/>
      <c r="B521" s="6"/>
      <c r="C521" s="60"/>
      <c r="D521" s="23"/>
      <c r="E521" s="61"/>
      <c r="F521" s="11"/>
      <c r="G521" s="11"/>
      <c r="H521" s="11"/>
      <c r="I521" s="8"/>
      <c r="J521" s="8"/>
      <c r="K521" s="62"/>
      <c r="L521" s="1"/>
    </row>
    <row r="522" ht="15.6" spans="1:12">
      <c r="A522" s="6"/>
      <c r="B522" s="6"/>
      <c r="C522" s="60"/>
      <c r="D522" s="23"/>
      <c r="E522" s="61"/>
      <c r="F522" s="11"/>
      <c r="G522" s="11"/>
      <c r="H522" s="11"/>
      <c r="I522" s="8"/>
      <c r="J522" s="8"/>
      <c r="K522" s="62"/>
      <c r="L522" s="1"/>
    </row>
    <row r="523" ht="15.6" spans="1:12">
      <c r="A523" s="6"/>
      <c r="B523" s="6"/>
      <c r="C523" s="60"/>
      <c r="D523" s="23"/>
      <c r="E523" s="61"/>
      <c r="F523" s="11"/>
      <c r="G523" s="11"/>
      <c r="H523" s="11"/>
      <c r="I523" s="8"/>
      <c r="J523" s="8"/>
      <c r="K523" s="62"/>
      <c r="L523" s="1"/>
    </row>
    <row r="524" ht="15.6" spans="1:12">
      <c r="A524" s="6"/>
      <c r="B524" s="6"/>
      <c r="C524" s="60"/>
      <c r="D524" s="23"/>
      <c r="E524" s="61"/>
      <c r="F524" s="11"/>
      <c r="G524" s="11"/>
      <c r="H524" s="11"/>
      <c r="I524" s="8"/>
      <c r="J524" s="8"/>
      <c r="K524" s="62"/>
      <c r="L524" s="1"/>
    </row>
    <row r="525" ht="15.6" spans="1:12">
      <c r="A525" s="6"/>
      <c r="B525" s="6"/>
      <c r="C525" s="60"/>
      <c r="D525" s="23"/>
      <c r="E525" s="61"/>
      <c r="F525" s="11"/>
      <c r="G525" s="11"/>
      <c r="H525" s="11"/>
      <c r="I525" s="8"/>
      <c r="J525" s="8"/>
      <c r="K525" s="62"/>
      <c r="L525" s="1"/>
    </row>
    <row r="526" ht="15.6" spans="1:12">
      <c r="A526" s="6"/>
      <c r="B526" s="6"/>
      <c r="C526" s="60"/>
      <c r="D526" s="23"/>
      <c r="E526" s="61"/>
      <c r="F526" s="11"/>
      <c r="G526" s="11"/>
      <c r="H526" s="11"/>
      <c r="I526" s="8"/>
      <c r="J526" s="8"/>
      <c r="K526" s="62"/>
      <c r="L526" s="1"/>
    </row>
    <row r="527" ht="15.6" spans="1:12">
      <c r="A527" s="6"/>
      <c r="B527" s="6"/>
      <c r="C527" s="60"/>
      <c r="D527" s="23"/>
      <c r="E527" s="61"/>
      <c r="F527" s="11"/>
      <c r="G527" s="11"/>
      <c r="H527" s="11"/>
      <c r="I527" s="8"/>
      <c r="J527" s="8"/>
      <c r="K527" s="62"/>
      <c r="L527" s="1"/>
    </row>
    <row r="528" ht="15.6" spans="1:12">
      <c r="A528" s="6"/>
      <c r="B528" s="6"/>
      <c r="C528" s="60"/>
      <c r="D528" s="23"/>
      <c r="E528" s="61"/>
      <c r="F528" s="11"/>
      <c r="G528" s="11"/>
      <c r="H528" s="11"/>
      <c r="I528" s="8"/>
      <c r="J528" s="8"/>
      <c r="K528" s="62"/>
      <c r="L528" s="1"/>
    </row>
    <row r="529" ht="15.6" spans="1:12">
      <c r="A529" s="6"/>
      <c r="B529" s="6"/>
      <c r="C529" s="60"/>
      <c r="D529" s="23"/>
      <c r="E529" s="61"/>
      <c r="F529" s="11"/>
      <c r="G529" s="11"/>
      <c r="H529" s="11"/>
      <c r="I529" s="8"/>
      <c r="J529" s="8"/>
      <c r="K529" s="62"/>
      <c r="L529" s="1"/>
    </row>
    <row r="530" ht="15.6" spans="1:12">
      <c r="A530" s="6"/>
      <c r="B530" s="6"/>
      <c r="C530" s="60"/>
      <c r="D530" s="23"/>
      <c r="E530" s="61"/>
      <c r="F530" s="11"/>
      <c r="G530" s="11"/>
      <c r="H530" s="11"/>
      <c r="I530" s="8"/>
      <c r="J530" s="8"/>
      <c r="K530" s="62"/>
      <c r="L530" s="1"/>
    </row>
    <row r="531" ht="15.6" spans="1:12">
      <c r="A531" s="6"/>
      <c r="B531" s="6"/>
      <c r="C531" s="60"/>
      <c r="D531" s="23"/>
      <c r="E531" s="61"/>
      <c r="F531" s="11"/>
      <c r="G531" s="11"/>
      <c r="H531" s="11"/>
      <c r="I531" s="8"/>
      <c r="J531" s="8"/>
      <c r="K531" s="62"/>
      <c r="L531" s="1"/>
    </row>
    <row r="532" ht="15.6" spans="1:12">
      <c r="A532" s="6"/>
      <c r="B532" s="6"/>
      <c r="C532" s="60"/>
      <c r="D532" s="23"/>
      <c r="E532" s="61"/>
      <c r="F532" s="11"/>
      <c r="G532" s="11"/>
      <c r="H532" s="11"/>
      <c r="I532" s="8"/>
      <c r="J532" s="8"/>
      <c r="K532" s="62"/>
      <c r="L532" s="1"/>
    </row>
    <row r="533" ht="15.6" spans="1:12">
      <c r="A533" s="6"/>
      <c r="B533" s="6"/>
      <c r="C533" s="60"/>
      <c r="D533" s="23"/>
      <c r="E533" s="61"/>
      <c r="F533" s="11"/>
      <c r="G533" s="11"/>
      <c r="H533" s="11"/>
      <c r="I533" s="8"/>
      <c r="J533" s="8"/>
      <c r="K533" s="62"/>
      <c r="L533" s="1"/>
    </row>
    <row r="534" ht="15.6" spans="1:12">
      <c r="A534" s="6"/>
      <c r="B534" s="6"/>
      <c r="C534" s="60"/>
      <c r="D534" s="23"/>
      <c r="E534" s="61"/>
      <c r="F534" s="11"/>
      <c r="G534" s="11"/>
      <c r="H534" s="11"/>
      <c r="I534" s="8"/>
      <c r="J534" s="8"/>
      <c r="K534" s="62"/>
      <c r="L534" s="1"/>
    </row>
    <row r="535" ht="15.6" spans="1:12">
      <c r="A535" s="6"/>
      <c r="B535" s="6"/>
      <c r="C535" s="60"/>
      <c r="D535" s="23"/>
      <c r="E535" s="61"/>
      <c r="F535" s="11"/>
      <c r="G535" s="11"/>
      <c r="H535" s="11"/>
      <c r="I535" s="8"/>
      <c r="J535" s="8"/>
      <c r="K535" s="62"/>
      <c r="L535" s="1"/>
    </row>
    <row r="536" ht="15.6" spans="1:12">
      <c r="A536" s="6"/>
      <c r="B536" s="6"/>
      <c r="C536" s="60"/>
      <c r="D536" s="23"/>
      <c r="E536" s="61"/>
      <c r="F536" s="11"/>
      <c r="G536" s="11"/>
      <c r="H536" s="11"/>
      <c r="I536" s="8"/>
      <c r="J536" s="8"/>
      <c r="K536" s="62"/>
      <c r="L536" s="1"/>
    </row>
    <row r="537" ht="15.6" spans="1:12">
      <c r="A537" s="6"/>
      <c r="B537" s="6"/>
      <c r="C537" s="60"/>
      <c r="D537" s="23"/>
      <c r="E537" s="61"/>
      <c r="F537" s="11"/>
      <c r="G537" s="11"/>
      <c r="H537" s="11"/>
      <c r="I537" s="8"/>
      <c r="J537" s="8"/>
      <c r="K537" s="62"/>
      <c r="L537" s="1"/>
    </row>
    <row r="538" ht="15.6" spans="1:12">
      <c r="A538" s="6"/>
      <c r="B538" s="6"/>
      <c r="C538" s="60"/>
      <c r="D538" s="23"/>
      <c r="E538" s="61"/>
      <c r="F538" s="11"/>
      <c r="G538" s="11"/>
      <c r="H538" s="11"/>
      <c r="I538" s="8"/>
      <c r="J538" s="8"/>
      <c r="K538" s="62"/>
      <c r="L538" s="1"/>
    </row>
    <row r="539" ht="15.6" spans="1:12">
      <c r="A539" s="6"/>
      <c r="B539" s="6"/>
      <c r="C539" s="60"/>
      <c r="D539" s="23"/>
      <c r="E539" s="61"/>
      <c r="F539" s="11"/>
      <c r="G539" s="11"/>
      <c r="H539" s="11"/>
      <c r="I539" s="8"/>
      <c r="J539" s="8"/>
      <c r="K539" s="62"/>
      <c r="L539" s="1"/>
    </row>
    <row r="540" ht="15.6" spans="1:12">
      <c r="A540" s="6"/>
      <c r="B540" s="6"/>
      <c r="C540" s="60"/>
      <c r="D540" s="23"/>
      <c r="E540" s="61"/>
      <c r="F540" s="11"/>
      <c r="G540" s="11"/>
      <c r="H540" s="11"/>
      <c r="I540" s="8"/>
      <c r="J540" s="8"/>
      <c r="K540" s="62"/>
      <c r="L540" s="1"/>
    </row>
    <row r="541" ht="15.6" spans="1:12">
      <c r="A541" s="6"/>
      <c r="B541" s="6"/>
      <c r="C541" s="60"/>
      <c r="D541" s="23"/>
      <c r="E541" s="61"/>
      <c r="F541" s="11"/>
      <c r="G541" s="11"/>
      <c r="H541" s="11"/>
      <c r="I541" s="8"/>
      <c r="J541" s="8"/>
      <c r="K541" s="62"/>
      <c r="L541" s="1"/>
    </row>
    <row r="542" ht="15.6" spans="1:12">
      <c r="A542" s="6"/>
      <c r="B542" s="6"/>
      <c r="C542" s="60"/>
      <c r="D542" s="23"/>
      <c r="E542" s="61"/>
      <c r="F542" s="11"/>
      <c r="G542" s="11"/>
      <c r="H542" s="11"/>
      <c r="I542" s="8"/>
      <c r="J542" s="8"/>
      <c r="K542" s="62"/>
      <c r="L542" s="1"/>
    </row>
    <row r="543" ht="15.6" spans="1:12">
      <c r="A543" s="6"/>
      <c r="B543" s="6"/>
      <c r="C543" s="60"/>
      <c r="D543" s="23"/>
      <c r="E543" s="61"/>
      <c r="F543" s="11"/>
      <c r="G543" s="11"/>
      <c r="H543" s="11"/>
      <c r="I543" s="8"/>
      <c r="J543" s="8"/>
      <c r="K543" s="62"/>
      <c r="L543" s="1"/>
    </row>
    <row r="544" ht="15.6" spans="1:12">
      <c r="A544" s="6"/>
      <c r="B544" s="6"/>
      <c r="C544" s="60"/>
      <c r="D544" s="23"/>
      <c r="E544" s="61"/>
      <c r="F544" s="11"/>
      <c r="G544" s="11"/>
      <c r="H544" s="11"/>
      <c r="I544" s="8"/>
      <c r="J544" s="8"/>
      <c r="K544" s="62"/>
      <c r="L544" s="1"/>
    </row>
    <row r="545" ht="15.6" spans="1:12">
      <c r="A545" s="6"/>
      <c r="B545" s="6"/>
      <c r="C545" s="60"/>
      <c r="D545" s="23"/>
      <c r="E545" s="61"/>
      <c r="F545" s="11"/>
      <c r="G545" s="11"/>
      <c r="H545" s="11"/>
      <c r="I545" s="8"/>
      <c r="J545" s="8"/>
      <c r="K545" s="62"/>
      <c r="L545" s="1"/>
    </row>
    <row r="546" ht="15.6" spans="1:12">
      <c r="A546" s="6"/>
      <c r="B546" s="6"/>
      <c r="C546" s="60"/>
      <c r="D546" s="23"/>
      <c r="E546" s="61"/>
      <c r="F546" s="11"/>
      <c r="G546" s="11"/>
      <c r="H546" s="11"/>
      <c r="I546" s="8"/>
      <c r="J546" s="8"/>
      <c r="K546" s="62"/>
      <c r="L546" s="1"/>
    </row>
    <row r="547" ht="15.6" spans="1:12">
      <c r="A547" s="6"/>
      <c r="B547" s="6"/>
      <c r="C547" s="60"/>
      <c r="D547" s="23"/>
      <c r="E547" s="61"/>
      <c r="F547" s="11"/>
      <c r="G547" s="11"/>
      <c r="H547" s="11"/>
      <c r="I547" s="8"/>
      <c r="J547" s="8"/>
      <c r="K547" s="62"/>
      <c r="L547" s="1"/>
    </row>
    <row r="548" ht="15.6" spans="1:12">
      <c r="A548" s="6"/>
      <c r="B548" s="6"/>
      <c r="C548" s="60"/>
      <c r="D548" s="23"/>
      <c r="E548" s="61"/>
      <c r="F548" s="11"/>
      <c r="G548" s="11"/>
      <c r="H548" s="11"/>
      <c r="I548" s="8"/>
      <c r="J548" s="8"/>
      <c r="K548" s="62"/>
      <c r="L548" s="1"/>
    </row>
    <row r="549" ht="15.6" spans="1:12">
      <c r="A549" s="6"/>
      <c r="B549" s="6"/>
      <c r="C549" s="60"/>
      <c r="D549" s="23"/>
      <c r="E549" s="61"/>
      <c r="F549" s="11"/>
      <c r="G549" s="11"/>
      <c r="H549" s="11"/>
      <c r="I549" s="8"/>
      <c r="J549" s="8"/>
      <c r="K549" s="62"/>
      <c r="L549" s="1"/>
    </row>
    <row r="550" ht="15.6" spans="1:12">
      <c r="A550" s="6"/>
      <c r="B550" s="6"/>
      <c r="C550" s="60"/>
      <c r="D550" s="23"/>
      <c r="E550" s="61"/>
      <c r="F550" s="11"/>
      <c r="G550" s="11"/>
      <c r="H550" s="11"/>
      <c r="I550" s="8"/>
      <c r="J550" s="8"/>
      <c r="K550" s="62"/>
      <c r="L550" s="1"/>
    </row>
    <row r="551" ht="15.6" spans="1:12">
      <c r="A551" s="6"/>
      <c r="B551" s="6"/>
      <c r="C551" s="60"/>
      <c r="D551" s="23"/>
      <c r="E551" s="61"/>
      <c r="F551" s="11"/>
      <c r="G551" s="11"/>
      <c r="H551" s="11"/>
      <c r="I551" s="8"/>
      <c r="J551" s="8"/>
      <c r="K551" s="62"/>
      <c r="L551" s="1"/>
    </row>
    <row r="552" ht="15.6" spans="1:12">
      <c r="A552" s="6"/>
      <c r="B552" s="6"/>
      <c r="C552" s="60"/>
      <c r="D552" s="23"/>
      <c r="E552" s="61"/>
      <c r="F552" s="11"/>
      <c r="G552" s="11"/>
      <c r="H552" s="11"/>
      <c r="I552" s="8"/>
      <c r="J552" s="8"/>
      <c r="K552" s="62"/>
      <c r="L552" s="1"/>
    </row>
    <row r="553" ht="15.6" spans="1:12">
      <c r="A553" s="6"/>
      <c r="B553" s="6"/>
      <c r="C553" s="60"/>
      <c r="D553" s="23"/>
      <c r="E553" s="61"/>
      <c r="F553" s="11"/>
      <c r="G553" s="11"/>
      <c r="H553" s="11"/>
      <c r="I553" s="8"/>
      <c r="J553" s="8"/>
      <c r="K553" s="62"/>
      <c r="L553" s="1"/>
    </row>
    <row r="554" ht="15.6" spans="1:12">
      <c r="A554" s="6"/>
      <c r="B554" s="6"/>
      <c r="C554" s="60"/>
      <c r="D554" s="23"/>
      <c r="E554" s="61"/>
      <c r="F554" s="11"/>
      <c r="G554" s="11"/>
      <c r="H554" s="11"/>
      <c r="I554" s="8"/>
      <c r="J554" s="8"/>
      <c r="K554" s="62"/>
      <c r="L554" s="1"/>
    </row>
    <row r="555" ht="15.6" spans="1:12">
      <c r="A555" s="6"/>
      <c r="B555" s="6"/>
      <c r="C555" s="60"/>
      <c r="D555" s="23"/>
      <c r="E555" s="61"/>
      <c r="F555" s="11"/>
      <c r="G555" s="11"/>
      <c r="H555" s="11"/>
      <c r="I555" s="8"/>
      <c r="J555" s="8"/>
      <c r="K555" s="62"/>
      <c r="L555" s="1"/>
    </row>
    <row r="556" ht="15.6" spans="1:12">
      <c r="A556" s="6"/>
      <c r="B556" s="6"/>
      <c r="C556" s="60"/>
      <c r="D556" s="23"/>
      <c r="E556" s="61"/>
      <c r="F556" s="11"/>
      <c r="G556" s="11"/>
      <c r="H556" s="11"/>
      <c r="I556" s="8"/>
      <c r="J556" s="8"/>
      <c r="K556" s="62"/>
      <c r="L556" s="1"/>
    </row>
    <row r="557" ht="15.6" spans="1:12">
      <c r="A557" s="6"/>
      <c r="B557" s="6"/>
      <c r="C557" s="60"/>
      <c r="D557" s="23"/>
      <c r="E557" s="61"/>
      <c r="F557" s="11"/>
      <c r="G557" s="11"/>
      <c r="H557" s="11"/>
      <c r="I557" s="8"/>
      <c r="J557" s="8"/>
      <c r="K557" s="62"/>
      <c r="L557" s="1"/>
    </row>
    <row r="558" ht="15.6" spans="1:12">
      <c r="A558" s="6"/>
      <c r="B558" s="6"/>
      <c r="C558" s="60"/>
      <c r="D558" s="23"/>
      <c r="E558" s="61"/>
      <c r="F558" s="11"/>
      <c r="G558" s="11"/>
      <c r="H558" s="11"/>
      <c r="I558" s="8"/>
      <c r="J558" s="8"/>
      <c r="K558" s="62"/>
      <c r="L558" s="1"/>
    </row>
    <row r="559" ht="15.6" spans="1:12">
      <c r="A559" s="6"/>
      <c r="B559" s="6"/>
      <c r="C559" s="60"/>
      <c r="D559" s="23"/>
      <c r="E559" s="61"/>
      <c r="F559" s="11"/>
      <c r="G559" s="11"/>
      <c r="H559" s="11"/>
      <c r="I559" s="8"/>
      <c r="J559" s="8"/>
      <c r="K559" s="62"/>
      <c r="L559" s="1"/>
    </row>
    <row r="560" ht="15.6" spans="1:12">
      <c r="A560" s="6"/>
      <c r="B560" s="6"/>
      <c r="C560" s="60"/>
      <c r="D560" s="23"/>
      <c r="E560" s="61"/>
      <c r="F560" s="11"/>
      <c r="G560" s="11"/>
      <c r="H560" s="11"/>
      <c r="I560" s="8"/>
      <c r="J560" s="8"/>
      <c r="K560" s="62"/>
      <c r="L560" s="1"/>
    </row>
    <row r="561" ht="15.6" spans="1:12">
      <c r="A561" s="6"/>
      <c r="B561" s="6"/>
      <c r="C561" s="60"/>
      <c r="D561" s="23"/>
      <c r="E561" s="61"/>
      <c r="F561" s="11"/>
      <c r="G561" s="11"/>
      <c r="H561" s="11"/>
      <c r="I561" s="8"/>
      <c r="J561" s="8"/>
      <c r="K561" s="62"/>
      <c r="L561" s="1"/>
    </row>
    <row r="562" ht="15.6" spans="1:12">
      <c r="A562" s="6"/>
      <c r="B562" s="6"/>
      <c r="C562" s="60"/>
      <c r="D562" s="23"/>
      <c r="E562" s="61"/>
      <c r="F562" s="11"/>
      <c r="G562" s="11"/>
      <c r="H562" s="11"/>
      <c r="I562" s="8"/>
      <c r="J562" s="8"/>
      <c r="K562" s="62"/>
      <c r="L562" s="1"/>
    </row>
    <row r="563" ht="15.6" spans="1:12">
      <c r="A563" s="6"/>
      <c r="B563" s="6"/>
      <c r="C563" s="60"/>
      <c r="D563" s="23"/>
      <c r="E563" s="61"/>
      <c r="F563" s="11"/>
      <c r="G563" s="11"/>
      <c r="H563" s="11"/>
      <c r="I563" s="8"/>
      <c r="J563" s="8"/>
      <c r="K563" s="62"/>
      <c r="L563" s="1"/>
    </row>
    <row r="564" ht="15.6" spans="1:12">
      <c r="A564" s="6"/>
      <c r="B564" s="6"/>
      <c r="C564" s="60"/>
      <c r="D564" s="23"/>
      <c r="E564" s="61"/>
      <c r="F564" s="11"/>
      <c r="G564" s="11"/>
      <c r="H564" s="11"/>
      <c r="I564" s="8"/>
      <c r="J564" s="8"/>
      <c r="K564" s="62"/>
      <c r="L564" s="1"/>
    </row>
    <row r="565" ht="15.6" spans="1:12">
      <c r="A565" s="6"/>
      <c r="B565" s="6"/>
      <c r="C565" s="60"/>
      <c r="D565" s="23"/>
      <c r="E565" s="61"/>
      <c r="F565" s="11"/>
      <c r="G565" s="11"/>
      <c r="H565" s="11"/>
      <c r="I565" s="8"/>
      <c r="J565" s="8"/>
      <c r="K565" s="62"/>
      <c r="L565" s="1"/>
    </row>
    <row r="566" ht="15.6" spans="1:12">
      <c r="A566" s="6"/>
      <c r="B566" s="6"/>
      <c r="C566" s="60"/>
      <c r="D566" s="23"/>
      <c r="E566" s="61"/>
      <c r="F566" s="11"/>
      <c r="G566" s="11"/>
      <c r="H566" s="11"/>
      <c r="I566" s="8"/>
      <c r="J566" s="8"/>
      <c r="K566" s="62"/>
      <c r="L566" s="1"/>
    </row>
    <row r="567" ht="15.6" spans="1:12">
      <c r="A567" s="6"/>
      <c r="B567" s="6"/>
      <c r="C567" s="60"/>
      <c r="D567" s="23"/>
      <c r="E567" s="61"/>
      <c r="F567" s="11"/>
      <c r="G567" s="11"/>
      <c r="H567" s="11"/>
      <c r="I567" s="8"/>
      <c r="J567" s="8"/>
      <c r="K567" s="62"/>
      <c r="L567" s="1"/>
    </row>
    <row r="568" ht="15.6" spans="1:12">
      <c r="A568" s="6"/>
      <c r="B568" s="6"/>
      <c r="C568" s="60"/>
      <c r="D568" s="23"/>
      <c r="E568" s="61"/>
      <c r="F568" s="11"/>
      <c r="G568" s="11"/>
      <c r="H568" s="11"/>
      <c r="I568" s="8"/>
      <c r="J568" s="8"/>
      <c r="K568" s="62"/>
      <c r="L568" s="1"/>
    </row>
    <row r="569" ht="15.6" spans="1:12">
      <c r="A569" s="6"/>
      <c r="B569" s="6"/>
      <c r="C569" s="60"/>
      <c r="D569" s="23"/>
      <c r="E569" s="61"/>
      <c r="F569" s="11"/>
      <c r="G569" s="11"/>
      <c r="H569" s="11"/>
      <c r="I569" s="8"/>
      <c r="J569" s="8"/>
      <c r="K569" s="62"/>
      <c r="L569" s="1"/>
    </row>
    <row r="570" ht="15.6" spans="1:12">
      <c r="A570" s="6"/>
      <c r="B570" s="6"/>
      <c r="C570" s="60"/>
      <c r="D570" s="23"/>
      <c r="E570" s="61"/>
      <c r="F570" s="11"/>
      <c r="G570" s="11"/>
      <c r="H570" s="11"/>
      <c r="I570" s="8"/>
      <c r="J570" s="8"/>
      <c r="K570" s="62"/>
      <c r="L570" s="1"/>
    </row>
    <row r="571" ht="15.6" spans="1:12">
      <c r="A571" s="6"/>
      <c r="B571" s="6"/>
      <c r="C571" s="60"/>
      <c r="D571" s="23"/>
      <c r="E571" s="61"/>
      <c r="F571" s="11"/>
      <c r="G571" s="11"/>
      <c r="H571" s="11"/>
      <c r="I571" s="8"/>
      <c r="J571" s="8"/>
      <c r="K571" s="62"/>
      <c r="L571" s="1"/>
    </row>
    <row r="572" ht="15.6" spans="1:12">
      <c r="A572" s="6"/>
      <c r="B572" s="6"/>
      <c r="C572" s="60"/>
      <c r="D572" s="23"/>
      <c r="E572" s="61"/>
      <c r="F572" s="11"/>
      <c r="G572" s="11"/>
      <c r="H572" s="11"/>
      <c r="I572" s="8"/>
      <c r="J572" s="8"/>
      <c r="K572" s="62"/>
      <c r="L572" s="1"/>
    </row>
    <row r="573" ht="15.6" spans="1:12">
      <c r="A573" s="6"/>
      <c r="B573" s="6"/>
      <c r="C573" s="60"/>
      <c r="D573" s="23"/>
      <c r="E573" s="61"/>
      <c r="F573" s="11"/>
      <c r="G573" s="11"/>
      <c r="H573" s="11"/>
      <c r="I573" s="8"/>
      <c r="J573" s="8"/>
      <c r="K573" s="62"/>
      <c r="L573" s="1"/>
    </row>
    <row r="574" ht="15.6" spans="1:12">
      <c r="A574" s="6"/>
      <c r="B574" s="6"/>
      <c r="C574" s="60"/>
      <c r="D574" s="23"/>
      <c r="E574" s="61"/>
      <c r="F574" s="11"/>
      <c r="G574" s="11"/>
      <c r="H574" s="11"/>
      <c r="I574" s="8"/>
      <c r="J574" s="8"/>
      <c r="K574" s="62"/>
      <c r="L574" s="1"/>
    </row>
    <row r="575" ht="15.6" spans="1:12">
      <c r="A575" s="6"/>
      <c r="B575" s="6"/>
      <c r="C575" s="60"/>
      <c r="D575" s="23"/>
      <c r="E575" s="61"/>
      <c r="F575" s="11"/>
      <c r="G575" s="11"/>
      <c r="H575" s="11"/>
      <c r="I575" s="8"/>
      <c r="J575" s="8"/>
      <c r="K575" s="62"/>
      <c r="L575" s="1"/>
    </row>
    <row r="576" ht="15.6" spans="1:12">
      <c r="A576" s="6"/>
      <c r="B576" s="6"/>
      <c r="C576" s="60"/>
      <c r="D576" s="23"/>
      <c r="E576" s="61"/>
      <c r="F576" s="11"/>
      <c r="G576" s="11"/>
      <c r="H576" s="11"/>
      <c r="I576" s="8"/>
      <c r="J576" s="8"/>
      <c r="K576" s="62"/>
      <c r="L576" s="1"/>
    </row>
    <row r="577" ht="15.6" spans="1:12">
      <c r="A577" s="6"/>
      <c r="B577" s="6"/>
      <c r="C577" s="60"/>
      <c r="D577" s="23"/>
      <c r="E577" s="61"/>
      <c r="F577" s="11"/>
      <c r="G577" s="11"/>
      <c r="H577" s="11"/>
      <c r="I577" s="8"/>
      <c r="J577" s="8"/>
      <c r="K577" s="62"/>
      <c r="L577" s="1"/>
    </row>
    <row r="578" ht="15.6" spans="1:12">
      <c r="A578" s="6"/>
      <c r="B578" s="6"/>
      <c r="C578" s="60"/>
      <c r="D578" s="23"/>
      <c r="E578" s="61"/>
      <c r="F578" s="11"/>
      <c r="G578" s="11"/>
      <c r="H578" s="11"/>
      <c r="I578" s="8"/>
      <c r="J578" s="8"/>
      <c r="K578" s="62"/>
      <c r="L578" s="1"/>
    </row>
    <row r="579" ht="15.6" spans="1:12">
      <c r="A579" s="6"/>
      <c r="B579" s="6"/>
      <c r="C579" s="60"/>
      <c r="D579" s="23"/>
      <c r="E579" s="61"/>
      <c r="F579" s="11"/>
      <c r="G579" s="11"/>
      <c r="H579" s="11"/>
      <c r="I579" s="8"/>
      <c r="J579" s="8"/>
      <c r="K579" s="62"/>
      <c r="L579" s="1"/>
    </row>
    <row r="580" ht="15.6" spans="1:12">
      <c r="A580" s="6"/>
      <c r="B580" s="6"/>
      <c r="C580" s="60"/>
      <c r="D580" s="23"/>
      <c r="E580" s="61"/>
      <c r="F580" s="11"/>
      <c r="G580" s="11"/>
      <c r="H580" s="11"/>
      <c r="I580" s="8"/>
      <c r="J580" s="8"/>
      <c r="K580" s="62"/>
      <c r="L580" s="1"/>
    </row>
    <row r="581" ht="15.6" spans="1:12">
      <c r="A581" s="6"/>
      <c r="B581" s="6"/>
      <c r="C581" s="60"/>
      <c r="D581" s="23"/>
      <c r="E581" s="61"/>
      <c r="F581" s="11"/>
      <c r="G581" s="11"/>
      <c r="H581" s="11"/>
      <c r="I581" s="8"/>
      <c r="J581" s="8"/>
      <c r="K581" s="62"/>
      <c r="L581" s="1"/>
    </row>
    <row r="582" ht="15.6" spans="1:12">
      <c r="A582" s="6"/>
      <c r="B582" s="6"/>
      <c r="C582" s="60"/>
      <c r="D582" s="23"/>
      <c r="E582" s="61"/>
      <c r="F582" s="11"/>
      <c r="G582" s="11"/>
      <c r="H582" s="11"/>
      <c r="I582" s="8"/>
      <c r="J582" s="8"/>
      <c r="K582" s="62"/>
      <c r="L582" s="1"/>
    </row>
    <row r="583" ht="15.6" spans="1:12">
      <c r="A583" s="6"/>
      <c r="B583" s="6"/>
      <c r="C583" s="60"/>
      <c r="D583" s="23"/>
      <c r="E583" s="61"/>
      <c r="F583" s="11"/>
      <c r="G583" s="11"/>
      <c r="H583" s="11"/>
      <c r="I583" s="8"/>
      <c r="J583" s="8"/>
      <c r="K583" s="62"/>
      <c r="L583" s="1"/>
    </row>
    <row r="584" ht="15.6" spans="1:12">
      <c r="A584" s="6"/>
      <c r="B584" s="6"/>
      <c r="C584" s="60"/>
      <c r="D584" s="23"/>
      <c r="E584" s="61"/>
      <c r="F584" s="11"/>
      <c r="G584" s="11"/>
      <c r="H584" s="11"/>
      <c r="I584" s="8"/>
      <c r="J584" s="8"/>
      <c r="K584" s="62"/>
      <c r="L584" s="1"/>
    </row>
    <row r="585" ht="15.6" spans="1:12">
      <c r="A585" s="6"/>
      <c r="B585" s="6"/>
      <c r="C585" s="60"/>
      <c r="D585" s="23"/>
      <c r="E585" s="61"/>
      <c r="F585" s="11"/>
      <c r="G585" s="11"/>
      <c r="H585" s="11"/>
      <c r="I585" s="8"/>
      <c r="J585" s="8"/>
      <c r="K585" s="62"/>
      <c r="L585" s="1"/>
    </row>
    <row r="586" ht="15.6" spans="1:12">
      <c r="A586" s="6"/>
      <c r="B586" s="6"/>
      <c r="C586" s="60"/>
      <c r="D586" s="23"/>
      <c r="E586" s="61"/>
      <c r="F586" s="11"/>
      <c r="G586" s="11"/>
      <c r="H586" s="11"/>
      <c r="I586" s="8"/>
      <c r="J586" s="8"/>
      <c r="K586" s="62"/>
      <c r="L586" s="1"/>
    </row>
    <row r="587" ht="15.6" spans="1:12">
      <c r="A587" s="6"/>
      <c r="B587" s="6"/>
      <c r="C587" s="60"/>
      <c r="D587" s="23"/>
      <c r="E587" s="61"/>
      <c r="F587" s="11"/>
      <c r="G587" s="11"/>
      <c r="H587" s="11"/>
      <c r="I587" s="8"/>
      <c r="J587" s="8"/>
      <c r="K587" s="62"/>
      <c r="L587" s="1"/>
    </row>
    <row r="588" ht="15.6" spans="1:12">
      <c r="A588" s="6"/>
      <c r="B588" s="6"/>
      <c r="C588" s="60"/>
      <c r="D588" s="23"/>
      <c r="E588" s="61"/>
      <c r="F588" s="11"/>
      <c r="G588" s="11"/>
      <c r="H588" s="11"/>
      <c r="I588" s="8"/>
      <c r="J588" s="8"/>
      <c r="K588" s="62"/>
      <c r="L588" s="1"/>
    </row>
    <row r="589" ht="15.6" spans="1:12">
      <c r="A589" s="6"/>
      <c r="B589" s="6"/>
      <c r="C589" s="60"/>
      <c r="D589" s="23"/>
      <c r="E589" s="61"/>
      <c r="F589" s="11"/>
      <c r="G589" s="11"/>
      <c r="H589" s="11"/>
      <c r="I589" s="8"/>
      <c r="J589" s="8"/>
      <c r="K589" s="62"/>
      <c r="L589" s="1"/>
    </row>
    <row r="590" ht="15.6" spans="1:12">
      <c r="A590" s="6"/>
      <c r="B590" s="6"/>
      <c r="C590" s="60"/>
      <c r="D590" s="23"/>
      <c r="E590" s="61"/>
      <c r="F590" s="11"/>
      <c r="G590" s="11"/>
      <c r="H590" s="11"/>
      <c r="I590" s="8"/>
      <c r="J590" s="8"/>
      <c r="K590" s="62"/>
      <c r="L590" s="1"/>
    </row>
    <row r="591" ht="15.6" spans="1:12">
      <c r="A591" s="6"/>
      <c r="B591" s="6"/>
      <c r="C591" s="60"/>
      <c r="D591" s="23"/>
      <c r="E591" s="61"/>
      <c r="F591" s="11"/>
      <c r="G591" s="11"/>
      <c r="H591" s="11"/>
      <c r="I591" s="8"/>
      <c r="J591" s="8"/>
      <c r="K591" s="62"/>
      <c r="L591" s="1"/>
    </row>
    <row r="592" ht="15.6" spans="1:12">
      <c r="A592" s="6"/>
      <c r="B592" s="6"/>
      <c r="C592" s="60"/>
      <c r="D592" s="23"/>
      <c r="E592" s="61"/>
      <c r="F592" s="11"/>
      <c r="G592" s="11"/>
      <c r="H592" s="11"/>
      <c r="I592" s="8"/>
      <c r="J592" s="8"/>
      <c r="K592" s="62"/>
      <c r="L592" s="1"/>
    </row>
    <row r="593" ht="15.6" spans="1:12">
      <c r="A593" s="6"/>
      <c r="B593" s="6"/>
      <c r="C593" s="60"/>
      <c r="D593" s="23"/>
      <c r="E593" s="61"/>
      <c r="F593" s="11"/>
      <c r="G593" s="11"/>
      <c r="H593" s="11"/>
      <c r="I593" s="8"/>
      <c r="J593" s="8"/>
      <c r="K593" s="62"/>
      <c r="L593" s="1"/>
    </row>
    <row r="594" ht="15.6" spans="1:12">
      <c r="A594" s="6"/>
      <c r="B594" s="6"/>
      <c r="C594" s="60"/>
      <c r="D594" s="23"/>
      <c r="E594" s="61"/>
      <c r="F594" s="11"/>
      <c r="G594" s="11"/>
      <c r="H594" s="11"/>
      <c r="I594" s="8"/>
      <c r="J594" s="8"/>
      <c r="K594" s="62"/>
      <c r="L594" s="1"/>
    </row>
    <row r="595" ht="15.6" spans="1:12">
      <c r="A595" s="6"/>
      <c r="B595" s="6"/>
      <c r="C595" s="60"/>
      <c r="D595" s="23"/>
      <c r="E595" s="61"/>
      <c r="F595" s="11"/>
      <c r="G595" s="11"/>
      <c r="H595" s="11"/>
      <c r="I595" s="8"/>
      <c r="J595" s="8"/>
      <c r="K595" s="62"/>
      <c r="L595" s="1"/>
    </row>
    <row r="596" ht="15.6" spans="1:12">
      <c r="A596" s="6"/>
      <c r="B596" s="6"/>
      <c r="C596" s="60"/>
      <c r="D596" s="23"/>
      <c r="E596" s="61"/>
      <c r="F596" s="11"/>
      <c r="G596" s="11"/>
      <c r="H596" s="11"/>
      <c r="I596" s="8"/>
      <c r="J596" s="8"/>
      <c r="K596" s="62"/>
      <c r="L596" s="1"/>
    </row>
    <row r="597" ht="15.6" spans="1:12">
      <c r="A597" s="6"/>
      <c r="B597" s="6"/>
      <c r="C597" s="60"/>
      <c r="D597" s="23"/>
      <c r="E597" s="61"/>
      <c r="F597" s="11"/>
      <c r="G597" s="11"/>
      <c r="H597" s="11"/>
      <c r="I597" s="8"/>
      <c r="J597" s="8"/>
      <c r="K597" s="62"/>
      <c r="L597" s="1"/>
    </row>
    <row r="598" ht="15.6" spans="1:12">
      <c r="A598" s="6"/>
      <c r="B598" s="6"/>
      <c r="C598" s="60"/>
      <c r="D598" s="23"/>
      <c r="E598" s="61"/>
      <c r="F598" s="11"/>
      <c r="G598" s="11"/>
      <c r="H598" s="11"/>
      <c r="I598" s="8"/>
      <c r="J598" s="8"/>
      <c r="K598" s="62"/>
      <c r="L598" s="1"/>
    </row>
    <row r="599" ht="15.6" spans="1:12">
      <c r="A599" s="6"/>
      <c r="B599" s="6"/>
      <c r="C599" s="60"/>
      <c r="D599" s="23"/>
      <c r="E599" s="61"/>
      <c r="F599" s="11"/>
      <c r="G599" s="11"/>
      <c r="H599" s="11"/>
      <c r="I599" s="8"/>
      <c r="J599" s="8"/>
      <c r="K599" s="62"/>
      <c r="L599" s="1"/>
    </row>
    <row r="600" ht="15.6" spans="1:12">
      <c r="A600" s="6"/>
      <c r="B600" s="6"/>
      <c r="C600" s="60"/>
      <c r="D600" s="23"/>
      <c r="E600" s="61"/>
      <c r="F600" s="11"/>
      <c r="G600" s="11"/>
      <c r="H600" s="11"/>
      <c r="I600" s="8"/>
      <c r="J600" s="8"/>
      <c r="K600" s="62"/>
      <c r="L600" s="1"/>
    </row>
    <row r="601" ht="15.6" spans="1:12">
      <c r="A601" s="6"/>
      <c r="B601" s="6"/>
      <c r="C601" s="60"/>
      <c r="D601" s="23"/>
      <c r="E601" s="61"/>
      <c r="F601" s="11"/>
      <c r="G601" s="11"/>
      <c r="H601" s="11"/>
      <c r="I601" s="8"/>
      <c r="J601" s="8"/>
      <c r="K601" s="62"/>
      <c r="L601" s="1"/>
    </row>
    <row r="602" ht="15.6" spans="1:12">
      <c r="A602" s="6"/>
      <c r="B602" s="6"/>
      <c r="C602" s="60"/>
      <c r="D602" s="23"/>
      <c r="E602" s="61"/>
      <c r="F602" s="11"/>
      <c r="G602" s="11"/>
      <c r="H602" s="11"/>
      <c r="I602" s="8"/>
      <c r="J602" s="8"/>
      <c r="K602" s="62"/>
      <c r="L602" s="1"/>
    </row>
    <row r="603" ht="15.6" spans="1:12">
      <c r="A603" s="6"/>
      <c r="B603" s="6"/>
      <c r="C603" s="60"/>
      <c r="D603" s="23"/>
      <c r="E603" s="61"/>
      <c r="F603" s="11"/>
      <c r="G603" s="11"/>
      <c r="H603" s="11"/>
      <c r="I603" s="8"/>
      <c r="J603" s="8"/>
      <c r="K603" s="62"/>
      <c r="L603" s="1"/>
    </row>
    <row r="604" ht="15.6" spans="1:12">
      <c r="A604" s="6"/>
      <c r="B604" s="6"/>
      <c r="C604" s="60"/>
      <c r="D604" s="23"/>
      <c r="E604" s="61"/>
      <c r="F604" s="11"/>
      <c r="G604" s="11"/>
      <c r="H604" s="11"/>
      <c r="I604" s="8"/>
      <c r="J604" s="8"/>
      <c r="K604" s="62"/>
      <c r="L604" s="1"/>
    </row>
    <row r="605" ht="15.6" spans="1:12">
      <c r="A605" s="6"/>
      <c r="B605" s="6"/>
      <c r="C605" s="60"/>
      <c r="D605" s="23"/>
      <c r="E605" s="61"/>
      <c r="F605" s="11"/>
      <c r="G605" s="11"/>
      <c r="H605" s="11"/>
      <c r="I605" s="8"/>
      <c r="J605" s="8"/>
      <c r="K605" s="62"/>
      <c r="L605" s="1"/>
    </row>
    <row r="606" ht="15.6" spans="1:12">
      <c r="A606" s="6"/>
      <c r="B606" s="6"/>
      <c r="C606" s="60"/>
      <c r="D606" s="23"/>
      <c r="E606" s="61"/>
      <c r="F606" s="11"/>
      <c r="G606" s="11"/>
      <c r="H606" s="11"/>
      <c r="I606" s="8"/>
      <c r="J606" s="8"/>
      <c r="K606" s="62"/>
      <c r="L606" s="1"/>
    </row>
    <row r="607" ht="15.6" spans="1:12">
      <c r="A607" s="6"/>
      <c r="B607" s="6"/>
      <c r="C607" s="60"/>
      <c r="D607" s="23"/>
      <c r="E607" s="61"/>
      <c r="F607" s="11"/>
      <c r="G607" s="11"/>
      <c r="H607" s="11"/>
      <c r="I607" s="8"/>
      <c r="J607" s="8"/>
      <c r="K607" s="62"/>
      <c r="L607" s="1"/>
    </row>
    <row r="608" ht="15.6" spans="1:12">
      <c r="A608" s="6"/>
      <c r="B608" s="6"/>
      <c r="C608" s="60"/>
      <c r="D608" s="23"/>
      <c r="E608" s="61"/>
      <c r="F608" s="11"/>
      <c r="G608" s="11"/>
      <c r="H608" s="11"/>
      <c r="I608" s="8"/>
      <c r="J608" s="8"/>
      <c r="K608" s="62"/>
      <c r="L608" s="1"/>
    </row>
    <row r="609" ht="15.6" spans="1:12">
      <c r="A609" s="6"/>
      <c r="B609" s="6"/>
      <c r="C609" s="60"/>
      <c r="D609" s="23"/>
      <c r="E609" s="61"/>
      <c r="F609" s="11"/>
      <c r="G609" s="11"/>
      <c r="H609" s="11"/>
      <c r="I609" s="8"/>
      <c r="J609" s="8"/>
      <c r="K609" s="62"/>
      <c r="L609" s="1"/>
    </row>
    <row r="610" ht="15.6" spans="1:12">
      <c r="A610" s="6"/>
      <c r="B610" s="6"/>
      <c r="C610" s="60"/>
      <c r="D610" s="23"/>
      <c r="E610" s="61"/>
      <c r="F610" s="11"/>
      <c r="G610" s="11"/>
      <c r="H610" s="11"/>
      <c r="I610" s="8"/>
      <c r="J610" s="8"/>
      <c r="K610" s="62"/>
      <c r="L610" s="1"/>
    </row>
    <row r="611" ht="15.6" spans="1:12">
      <c r="A611" s="6"/>
      <c r="B611" s="6"/>
      <c r="C611" s="60"/>
      <c r="D611" s="23"/>
      <c r="E611" s="61"/>
      <c r="F611" s="11"/>
      <c r="G611" s="11"/>
      <c r="H611" s="11"/>
      <c r="I611" s="8"/>
      <c r="J611" s="8"/>
      <c r="K611" s="62"/>
      <c r="L611" s="1"/>
    </row>
    <row r="612" ht="15.6" spans="1:12">
      <c r="A612" s="6"/>
      <c r="B612" s="6"/>
      <c r="C612" s="60"/>
      <c r="D612" s="23"/>
      <c r="E612" s="61"/>
      <c r="F612" s="11"/>
      <c r="G612" s="11"/>
      <c r="H612" s="11"/>
      <c r="I612" s="8"/>
      <c r="J612" s="8"/>
      <c r="K612" s="62"/>
      <c r="L612" s="1"/>
    </row>
    <row r="613" ht="15.6" spans="1:12">
      <c r="A613" s="6"/>
      <c r="B613" s="6"/>
      <c r="C613" s="60"/>
      <c r="D613" s="23"/>
      <c r="E613" s="61"/>
      <c r="F613" s="11"/>
      <c r="G613" s="11"/>
      <c r="H613" s="11"/>
      <c r="I613" s="8"/>
      <c r="J613" s="8"/>
      <c r="K613" s="62"/>
      <c r="L613" s="1"/>
    </row>
    <row r="614" ht="15.6" spans="1:12">
      <c r="A614" s="6"/>
      <c r="B614" s="6"/>
      <c r="C614" s="60"/>
      <c r="D614" s="23"/>
      <c r="E614" s="61"/>
      <c r="F614" s="11"/>
      <c r="G614" s="11"/>
      <c r="H614" s="11"/>
      <c r="I614" s="8"/>
      <c r="J614" s="8"/>
      <c r="K614" s="62"/>
      <c r="L614" s="1"/>
    </row>
    <row r="615" ht="15.6" spans="1:12">
      <c r="A615" s="6"/>
      <c r="B615" s="6"/>
      <c r="C615" s="60"/>
      <c r="D615" s="23"/>
      <c r="E615" s="61"/>
      <c r="F615" s="11"/>
      <c r="G615" s="11"/>
      <c r="H615" s="11"/>
      <c r="I615" s="8"/>
      <c r="J615" s="8"/>
      <c r="K615" s="62"/>
      <c r="L615" s="1"/>
    </row>
    <row r="616" ht="15.6" spans="1:12">
      <c r="A616" s="6"/>
      <c r="B616" s="6"/>
      <c r="C616" s="60"/>
      <c r="D616" s="23"/>
      <c r="E616" s="61"/>
      <c r="F616" s="11"/>
      <c r="G616" s="11"/>
      <c r="H616" s="11"/>
      <c r="I616" s="8"/>
      <c r="J616" s="8"/>
      <c r="K616" s="62"/>
      <c r="L616" s="1"/>
    </row>
    <row r="617" ht="15.6" spans="1:12">
      <c r="A617" s="6"/>
      <c r="B617" s="6"/>
      <c r="C617" s="60"/>
      <c r="D617" s="23"/>
      <c r="E617" s="61"/>
      <c r="F617" s="11"/>
      <c r="G617" s="11"/>
      <c r="H617" s="11"/>
      <c r="I617" s="8"/>
      <c r="J617" s="8"/>
      <c r="K617" s="62"/>
      <c r="L617" s="1"/>
    </row>
    <row r="618" ht="15.6" spans="1:12">
      <c r="A618" s="6"/>
      <c r="B618" s="6"/>
      <c r="C618" s="60"/>
      <c r="D618" s="23"/>
      <c r="E618" s="61"/>
      <c r="F618" s="11"/>
      <c r="G618" s="11"/>
      <c r="H618" s="11"/>
      <c r="I618" s="8"/>
      <c r="J618" s="8"/>
      <c r="K618" s="62"/>
      <c r="L618" s="1"/>
    </row>
    <row r="619" ht="15.6" spans="1:12">
      <c r="A619" s="6"/>
      <c r="B619" s="6"/>
      <c r="C619" s="60"/>
      <c r="D619" s="23"/>
      <c r="E619" s="61"/>
      <c r="F619" s="11"/>
      <c r="G619" s="11"/>
      <c r="H619" s="11"/>
      <c r="I619" s="8"/>
      <c r="J619" s="8"/>
      <c r="K619" s="62"/>
      <c r="L619" s="1"/>
    </row>
    <row r="620" ht="15.6" spans="1:12">
      <c r="A620" s="6"/>
      <c r="B620" s="6"/>
      <c r="C620" s="60"/>
      <c r="D620" s="23"/>
      <c r="E620" s="61"/>
      <c r="F620" s="11"/>
      <c r="G620" s="11"/>
      <c r="H620" s="11"/>
      <c r="I620" s="8"/>
      <c r="J620" s="8"/>
      <c r="K620" s="62"/>
      <c r="L620" s="1"/>
    </row>
    <row r="621" ht="15.6" spans="1:12">
      <c r="A621" s="6"/>
      <c r="B621" s="6"/>
      <c r="C621" s="60"/>
      <c r="D621" s="23"/>
      <c r="E621" s="61"/>
      <c r="F621" s="11"/>
      <c r="G621" s="11"/>
      <c r="H621" s="11"/>
      <c r="I621" s="8"/>
      <c r="J621" s="8"/>
      <c r="K621" s="62"/>
      <c r="L621" s="1"/>
    </row>
    <row r="622" ht="15.6" spans="1:12">
      <c r="A622" s="6"/>
      <c r="B622" s="6"/>
      <c r="C622" s="60"/>
      <c r="D622" s="23"/>
      <c r="E622" s="61"/>
      <c r="F622" s="11"/>
      <c r="G622" s="11"/>
      <c r="H622" s="11"/>
      <c r="I622" s="8"/>
      <c r="J622" s="8"/>
      <c r="K622" s="62"/>
      <c r="L622" s="1"/>
    </row>
    <row r="623" ht="15.6" spans="1:12">
      <c r="A623" s="6"/>
      <c r="B623" s="6"/>
      <c r="C623" s="60"/>
      <c r="D623" s="23"/>
      <c r="E623" s="61"/>
      <c r="F623" s="11"/>
      <c r="G623" s="11"/>
      <c r="H623" s="11"/>
      <c r="I623" s="8"/>
      <c r="J623" s="8"/>
      <c r="K623" s="62"/>
      <c r="L623" s="1"/>
    </row>
    <row r="624" ht="15.6" spans="1:12">
      <c r="A624" s="6"/>
      <c r="B624" s="6"/>
      <c r="C624" s="60"/>
      <c r="D624" s="23"/>
      <c r="E624" s="61"/>
      <c r="F624" s="11"/>
      <c r="G624" s="11"/>
      <c r="H624" s="11"/>
      <c r="I624" s="8"/>
      <c r="J624" s="8"/>
      <c r="K624" s="62"/>
      <c r="L624" s="1"/>
    </row>
    <row r="625" ht="15.6" spans="1:12">
      <c r="A625" s="6"/>
      <c r="B625" s="6"/>
      <c r="C625" s="60"/>
      <c r="D625" s="23"/>
      <c r="E625" s="61"/>
      <c r="F625" s="11"/>
      <c r="G625" s="11"/>
      <c r="H625" s="11"/>
      <c r="I625" s="8"/>
      <c r="J625" s="8"/>
      <c r="K625" s="62"/>
      <c r="L625" s="1"/>
    </row>
    <row r="626" ht="15.6" spans="1:12">
      <c r="A626" s="6"/>
      <c r="B626" s="6"/>
      <c r="C626" s="60"/>
      <c r="D626" s="23"/>
      <c r="E626" s="61"/>
      <c r="F626" s="11"/>
      <c r="G626" s="11"/>
      <c r="H626" s="11"/>
      <c r="I626" s="8"/>
      <c r="J626" s="8"/>
      <c r="K626" s="62"/>
      <c r="L626" s="1"/>
    </row>
    <row r="627" ht="15.6" spans="1:12">
      <c r="A627" s="6"/>
      <c r="B627" s="6"/>
      <c r="C627" s="60"/>
      <c r="D627" s="23"/>
      <c r="E627" s="61"/>
      <c r="F627" s="11"/>
      <c r="G627" s="11"/>
      <c r="H627" s="11"/>
      <c r="I627" s="8"/>
      <c r="J627" s="8"/>
      <c r="K627" s="62"/>
      <c r="L627" s="1"/>
    </row>
    <row r="628" ht="15.6" spans="1:12">
      <c r="A628" s="6"/>
      <c r="B628" s="6"/>
      <c r="C628" s="60"/>
      <c r="D628" s="23"/>
      <c r="E628" s="61"/>
      <c r="F628" s="11"/>
      <c r="G628" s="11"/>
      <c r="H628" s="11"/>
      <c r="I628" s="8"/>
      <c r="J628" s="8"/>
      <c r="K628" s="62"/>
      <c r="L628" s="1"/>
    </row>
    <row r="629" ht="15.6" spans="1:12">
      <c r="A629" s="6"/>
      <c r="B629" s="6"/>
      <c r="C629" s="60"/>
      <c r="D629" s="23"/>
      <c r="E629" s="61"/>
      <c r="F629" s="11"/>
      <c r="G629" s="11"/>
      <c r="H629" s="11"/>
      <c r="I629" s="8"/>
      <c r="J629" s="8"/>
      <c r="K629" s="62"/>
      <c r="L629" s="1"/>
    </row>
    <row r="630" ht="15.6" spans="1:12">
      <c r="A630" s="6"/>
      <c r="B630" s="6"/>
      <c r="C630" s="60"/>
      <c r="D630" s="23"/>
      <c r="E630" s="61"/>
      <c r="F630" s="11"/>
      <c r="G630" s="11"/>
      <c r="H630" s="11"/>
      <c r="I630" s="8"/>
      <c r="J630" s="8"/>
      <c r="K630" s="62"/>
      <c r="L630" s="1"/>
    </row>
    <row r="631" ht="15.6" spans="1:12">
      <c r="A631" s="6"/>
      <c r="B631" s="6"/>
      <c r="C631" s="60"/>
      <c r="D631" s="23"/>
      <c r="E631" s="61"/>
      <c r="F631" s="11"/>
      <c r="G631" s="11"/>
      <c r="H631" s="11"/>
      <c r="I631" s="8"/>
      <c r="J631" s="8"/>
      <c r="K631" s="62"/>
      <c r="L631" s="1"/>
    </row>
    <row r="632" ht="15.6" spans="1:12">
      <c r="A632" s="6"/>
      <c r="B632" s="6"/>
      <c r="C632" s="60"/>
      <c r="D632" s="23"/>
      <c r="E632" s="61"/>
      <c r="F632" s="11"/>
      <c r="G632" s="11"/>
      <c r="H632" s="11"/>
      <c r="I632" s="8"/>
      <c r="J632" s="8"/>
      <c r="K632" s="62"/>
      <c r="L632" s="1"/>
    </row>
    <row r="633" ht="15.6" spans="1:12">
      <c r="A633" s="6"/>
      <c r="B633" s="6"/>
      <c r="C633" s="60"/>
      <c r="D633" s="23"/>
      <c r="E633" s="61"/>
      <c r="F633" s="11"/>
      <c r="G633" s="11"/>
      <c r="H633" s="11"/>
      <c r="I633" s="8"/>
      <c r="J633" s="8"/>
      <c r="K633" s="62"/>
      <c r="L633" s="1"/>
    </row>
    <row r="634" ht="15.6" spans="1:12">
      <c r="A634" s="6"/>
      <c r="B634" s="6"/>
      <c r="C634" s="60"/>
      <c r="D634" s="23"/>
      <c r="E634" s="61"/>
      <c r="F634" s="11"/>
      <c r="G634" s="11"/>
      <c r="H634" s="11"/>
      <c r="I634" s="8"/>
      <c r="J634" s="8"/>
      <c r="K634" s="62"/>
      <c r="L634" s="1"/>
    </row>
    <row r="635" ht="15.6" spans="1:12">
      <c r="A635" s="6"/>
      <c r="B635" s="6"/>
      <c r="C635" s="60"/>
      <c r="D635" s="23"/>
      <c r="E635" s="61"/>
      <c r="F635" s="11"/>
      <c r="G635" s="11"/>
      <c r="H635" s="11"/>
      <c r="I635" s="8"/>
      <c r="J635" s="8"/>
      <c r="K635" s="62"/>
      <c r="L635" s="1"/>
    </row>
    <row r="636" ht="15.6" spans="1:12">
      <c r="A636" s="6"/>
      <c r="B636" s="6"/>
      <c r="C636" s="60"/>
      <c r="D636" s="23"/>
      <c r="E636" s="61"/>
      <c r="F636" s="11"/>
      <c r="G636" s="11"/>
      <c r="H636" s="11"/>
      <c r="I636" s="8"/>
      <c r="J636" s="8"/>
      <c r="K636" s="62"/>
      <c r="L636" s="1"/>
    </row>
    <row r="637" ht="15.6" spans="1:12">
      <c r="A637" s="6"/>
      <c r="B637" s="6"/>
      <c r="C637" s="60"/>
      <c r="D637" s="23"/>
      <c r="E637" s="61"/>
      <c r="F637" s="11"/>
      <c r="G637" s="11"/>
      <c r="H637" s="11"/>
      <c r="I637" s="8"/>
      <c r="J637" s="8"/>
      <c r="K637" s="62"/>
      <c r="L637" s="1"/>
    </row>
    <row r="638" ht="15.6" spans="1:12">
      <c r="A638" s="6"/>
      <c r="B638" s="6"/>
      <c r="C638" s="60"/>
      <c r="D638" s="23"/>
      <c r="E638" s="61"/>
      <c r="F638" s="11"/>
      <c r="G638" s="11"/>
      <c r="H638" s="11"/>
      <c r="I638" s="8"/>
      <c r="J638" s="8"/>
      <c r="K638" s="62"/>
      <c r="L638" s="1"/>
    </row>
    <row r="639" ht="15.6" spans="1:12">
      <c r="A639" s="6"/>
      <c r="B639" s="6"/>
      <c r="C639" s="60"/>
      <c r="D639" s="23"/>
      <c r="E639" s="61"/>
      <c r="F639" s="11"/>
      <c r="G639" s="11"/>
      <c r="H639" s="11"/>
      <c r="I639" s="8"/>
      <c r="J639" s="8"/>
      <c r="K639" s="62"/>
      <c r="L639" s="1"/>
    </row>
    <row r="640" ht="15.6" spans="1:12">
      <c r="A640" s="6"/>
      <c r="B640" s="6"/>
      <c r="C640" s="60"/>
      <c r="D640" s="23"/>
      <c r="E640" s="61"/>
      <c r="F640" s="11"/>
      <c r="G640" s="11"/>
      <c r="H640" s="11"/>
      <c r="I640" s="8"/>
      <c r="J640" s="8"/>
      <c r="K640" s="62"/>
      <c r="L640" s="1"/>
    </row>
    <row r="641" ht="15.6" spans="1:12">
      <c r="A641" s="6"/>
      <c r="B641" s="6"/>
      <c r="C641" s="60"/>
      <c r="D641" s="23"/>
      <c r="E641" s="61"/>
      <c r="F641" s="11"/>
      <c r="G641" s="11"/>
      <c r="H641" s="11"/>
      <c r="I641" s="8"/>
      <c r="J641" s="8"/>
      <c r="K641" s="62"/>
      <c r="L641" s="1"/>
    </row>
    <row r="642" ht="15.6" spans="1:12">
      <c r="A642" s="6"/>
      <c r="B642" s="6"/>
      <c r="C642" s="60"/>
      <c r="D642" s="23"/>
      <c r="E642" s="61"/>
      <c r="F642" s="11"/>
      <c r="G642" s="11"/>
      <c r="H642" s="11"/>
      <c r="I642" s="8"/>
      <c r="J642" s="8"/>
      <c r="K642" s="62"/>
      <c r="L642" s="1"/>
    </row>
    <row r="643" ht="15.6" spans="1:12">
      <c r="A643" s="6"/>
      <c r="B643" s="6"/>
      <c r="C643" s="60"/>
      <c r="D643" s="23"/>
      <c r="E643" s="61"/>
      <c r="F643" s="11"/>
      <c r="G643" s="11"/>
      <c r="H643" s="11"/>
      <c r="I643" s="8"/>
      <c r="J643" s="8"/>
      <c r="K643" s="62"/>
      <c r="L643" s="1"/>
    </row>
    <row r="644" ht="15.6" spans="1:12">
      <c r="A644" s="6"/>
      <c r="B644" s="6"/>
      <c r="C644" s="60"/>
      <c r="D644" s="23"/>
      <c r="E644" s="61"/>
      <c r="F644" s="11"/>
      <c r="G644" s="11"/>
      <c r="H644" s="11"/>
      <c r="I644" s="8"/>
      <c r="J644" s="8"/>
      <c r="K644" s="62"/>
      <c r="L644" s="1"/>
    </row>
    <row r="645" ht="15.6" spans="1:12">
      <c r="A645" s="6"/>
      <c r="B645" s="6"/>
      <c r="C645" s="60"/>
      <c r="D645" s="23"/>
      <c r="E645" s="61"/>
      <c r="F645" s="11"/>
      <c r="G645" s="11"/>
      <c r="H645" s="11"/>
      <c r="I645" s="8"/>
      <c r="J645" s="8"/>
      <c r="K645" s="62"/>
      <c r="L645" s="1"/>
    </row>
    <row r="646" ht="15.6" spans="1:12">
      <c r="A646" s="6"/>
      <c r="B646" s="6"/>
      <c r="C646" s="60"/>
      <c r="D646" s="23"/>
      <c r="E646" s="61"/>
      <c r="F646" s="11"/>
      <c r="G646" s="11"/>
      <c r="H646" s="11"/>
      <c r="I646" s="8"/>
      <c r="J646" s="8"/>
      <c r="K646" s="62"/>
      <c r="L646" s="1"/>
    </row>
    <row r="647" ht="15.6" spans="1:12">
      <c r="A647" s="6"/>
      <c r="B647" s="6"/>
      <c r="C647" s="60"/>
      <c r="D647" s="23"/>
      <c r="E647" s="61"/>
      <c r="F647" s="11"/>
      <c r="G647" s="11"/>
      <c r="H647" s="11"/>
      <c r="I647" s="8"/>
      <c r="J647" s="8"/>
      <c r="K647" s="62"/>
      <c r="L647" s="1"/>
    </row>
    <row r="648" ht="15.6" spans="1:12">
      <c r="A648" s="6"/>
      <c r="B648" s="6"/>
      <c r="C648" s="60"/>
      <c r="D648" s="23"/>
      <c r="E648" s="61"/>
      <c r="F648" s="11"/>
      <c r="G648" s="11"/>
      <c r="H648" s="11"/>
      <c r="I648" s="8"/>
      <c r="J648" s="8"/>
      <c r="K648" s="62"/>
      <c r="L648" s="1"/>
    </row>
    <row r="649" ht="15.6" spans="1:12">
      <c r="A649" s="6"/>
      <c r="B649" s="6"/>
      <c r="C649" s="60"/>
      <c r="D649" s="23"/>
      <c r="E649" s="61"/>
      <c r="F649" s="11"/>
      <c r="G649" s="11"/>
      <c r="H649" s="11"/>
      <c r="I649" s="8"/>
      <c r="J649" s="8"/>
      <c r="K649" s="62"/>
      <c r="L649" s="1"/>
    </row>
    <row r="650" ht="15.6" spans="1:12">
      <c r="A650" s="6"/>
      <c r="B650" s="6"/>
      <c r="C650" s="60"/>
      <c r="D650" s="23"/>
      <c r="E650" s="61"/>
      <c r="F650" s="11"/>
      <c r="G650" s="11"/>
      <c r="H650" s="11"/>
      <c r="I650" s="8"/>
      <c r="J650" s="8"/>
      <c r="K650" s="62"/>
      <c r="L650" s="1"/>
    </row>
    <row r="651" ht="15.6" spans="1:12">
      <c r="A651" s="6"/>
      <c r="B651" s="6"/>
      <c r="C651" s="60"/>
      <c r="D651" s="23"/>
      <c r="E651" s="61"/>
      <c r="F651" s="11"/>
      <c r="G651" s="11"/>
      <c r="H651" s="11"/>
      <c r="I651" s="8"/>
      <c r="J651" s="8"/>
      <c r="K651" s="62"/>
      <c r="L651" s="1"/>
    </row>
    <row r="652" ht="15.6" spans="1:12">
      <c r="A652" s="6"/>
      <c r="B652" s="6"/>
      <c r="C652" s="60"/>
      <c r="D652" s="23"/>
      <c r="E652" s="61"/>
      <c r="F652" s="11"/>
      <c r="G652" s="11"/>
      <c r="H652" s="11"/>
      <c r="I652" s="8"/>
      <c r="J652" s="8"/>
      <c r="K652" s="62"/>
      <c r="L652" s="1"/>
    </row>
    <row r="653" ht="15.6" spans="1:12">
      <c r="A653" s="6"/>
      <c r="B653" s="6"/>
      <c r="C653" s="60"/>
      <c r="D653" s="23"/>
      <c r="E653" s="61"/>
      <c r="F653" s="11"/>
      <c r="G653" s="11"/>
      <c r="H653" s="11"/>
      <c r="I653" s="8"/>
      <c r="J653" s="8"/>
      <c r="K653" s="62"/>
      <c r="L653" s="1"/>
    </row>
    <row r="654" ht="15.6" spans="1:12">
      <c r="A654" s="6"/>
      <c r="B654" s="6"/>
      <c r="C654" s="60"/>
      <c r="D654" s="23"/>
      <c r="E654" s="61"/>
      <c r="F654" s="11"/>
      <c r="G654" s="11"/>
      <c r="H654" s="11"/>
      <c r="I654" s="8"/>
      <c r="J654" s="8"/>
      <c r="K654" s="62"/>
      <c r="L654" s="1"/>
    </row>
    <row r="655" ht="15.6" spans="1:12">
      <c r="A655" s="6"/>
      <c r="B655" s="6"/>
      <c r="C655" s="60"/>
      <c r="D655" s="23"/>
      <c r="E655" s="61"/>
      <c r="F655" s="11"/>
      <c r="G655" s="11"/>
      <c r="H655" s="11"/>
      <c r="I655" s="8"/>
      <c r="J655" s="8"/>
      <c r="K655" s="62"/>
      <c r="L655" s="1"/>
    </row>
    <row r="656" ht="15.6" spans="1:12">
      <c r="A656" s="6"/>
      <c r="B656" s="6"/>
      <c r="C656" s="60"/>
      <c r="D656" s="23"/>
      <c r="E656" s="61"/>
      <c r="F656" s="11"/>
      <c r="G656" s="11"/>
      <c r="H656" s="11"/>
      <c r="I656" s="8"/>
      <c r="J656" s="8"/>
      <c r="K656" s="62"/>
      <c r="L656" s="1"/>
    </row>
    <row r="657" ht="15.6" spans="1:12">
      <c r="A657" s="6"/>
      <c r="B657" s="6"/>
      <c r="C657" s="60"/>
      <c r="D657" s="23"/>
      <c r="E657" s="61"/>
      <c r="F657" s="11"/>
      <c r="G657" s="11"/>
      <c r="H657" s="11"/>
      <c r="I657" s="8"/>
      <c r="J657" s="8"/>
      <c r="K657" s="62"/>
      <c r="L657" s="1"/>
    </row>
    <row r="658" ht="15.6" spans="1:12">
      <c r="A658" s="6"/>
      <c r="B658" s="6"/>
      <c r="C658" s="60"/>
      <c r="D658" s="23"/>
      <c r="E658" s="61"/>
      <c r="F658" s="11"/>
      <c r="G658" s="11"/>
      <c r="H658" s="11"/>
      <c r="I658" s="8"/>
      <c r="J658" s="8"/>
      <c r="K658" s="62"/>
      <c r="L658" s="1"/>
    </row>
    <row r="659" ht="15.6" spans="1:12">
      <c r="A659" s="6"/>
      <c r="B659" s="6"/>
      <c r="C659" s="60"/>
      <c r="D659" s="23"/>
      <c r="E659" s="61"/>
      <c r="F659" s="11"/>
      <c r="G659" s="11"/>
      <c r="H659" s="11"/>
      <c r="I659" s="8"/>
      <c r="J659" s="8"/>
      <c r="K659" s="62"/>
      <c r="L659" s="1"/>
    </row>
    <row r="660" ht="15.6" spans="1:12">
      <c r="A660" s="6"/>
      <c r="B660" s="6"/>
      <c r="C660" s="60"/>
      <c r="D660" s="23"/>
      <c r="E660" s="61"/>
      <c r="F660" s="11"/>
      <c r="G660" s="11"/>
      <c r="H660" s="11"/>
      <c r="I660" s="8"/>
      <c r="J660" s="8"/>
      <c r="K660" s="62"/>
      <c r="L660" s="1"/>
    </row>
    <row r="661" ht="15.6" spans="1:12">
      <c r="A661" s="6"/>
      <c r="B661" s="6"/>
      <c r="C661" s="60"/>
      <c r="D661" s="23"/>
      <c r="E661" s="61"/>
      <c r="F661" s="11"/>
      <c r="G661" s="11"/>
      <c r="H661" s="11"/>
      <c r="I661" s="8"/>
      <c r="J661" s="8"/>
      <c r="K661" s="62"/>
      <c r="L661" s="1"/>
    </row>
    <row r="662" ht="15.6" spans="1:12">
      <c r="A662" s="6"/>
      <c r="B662" s="6"/>
      <c r="C662" s="60"/>
      <c r="D662" s="23"/>
      <c r="E662" s="61"/>
      <c r="F662" s="11"/>
      <c r="G662" s="11"/>
      <c r="H662" s="11"/>
      <c r="I662" s="8"/>
      <c r="J662" s="8"/>
      <c r="K662" s="62"/>
      <c r="L662" s="1"/>
    </row>
    <row r="663" ht="15.6" spans="1:12">
      <c r="A663" s="6"/>
      <c r="B663" s="6"/>
      <c r="C663" s="60"/>
      <c r="D663" s="23"/>
      <c r="E663" s="61"/>
      <c r="F663" s="11"/>
      <c r="G663" s="11"/>
      <c r="H663" s="11"/>
      <c r="I663" s="8"/>
      <c r="J663" s="8"/>
      <c r="K663" s="62"/>
      <c r="L663" s="1"/>
    </row>
    <row r="664" ht="15.6" spans="1:12">
      <c r="A664" s="6"/>
      <c r="B664" s="6"/>
      <c r="C664" s="60"/>
      <c r="D664" s="23"/>
      <c r="E664" s="61"/>
      <c r="F664" s="11"/>
      <c r="G664" s="11"/>
      <c r="H664" s="11"/>
      <c r="I664" s="8"/>
      <c r="J664" s="8"/>
      <c r="K664" s="62"/>
      <c r="L664" s="1"/>
    </row>
    <row r="665" ht="15.6" spans="1:12">
      <c r="A665" s="6"/>
      <c r="B665" s="6"/>
      <c r="C665" s="60"/>
      <c r="D665" s="23"/>
      <c r="E665" s="61"/>
      <c r="F665" s="11"/>
      <c r="G665" s="11"/>
      <c r="H665" s="11"/>
      <c r="I665" s="8"/>
      <c r="J665" s="8"/>
      <c r="K665" s="62"/>
      <c r="L665" s="1"/>
    </row>
    <row r="666" ht="15.6" spans="1:12">
      <c r="A666" s="6"/>
      <c r="B666" s="6"/>
      <c r="C666" s="60"/>
      <c r="D666" s="23"/>
      <c r="E666" s="61"/>
      <c r="F666" s="11"/>
      <c r="G666" s="11"/>
      <c r="H666" s="11"/>
      <c r="I666" s="8"/>
      <c r="J666" s="8"/>
      <c r="K666" s="62"/>
      <c r="L666" s="1"/>
    </row>
    <row r="667" ht="15.6" spans="1:12">
      <c r="A667" s="6"/>
      <c r="B667" s="6"/>
      <c r="C667" s="60"/>
      <c r="D667" s="23"/>
      <c r="E667" s="61"/>
      <c r="F667" s="11"/>
      <c r="G667" s="11"/>
      <c r="H667" s="11"/>
      <c r="I667" s="8"/>
      <c r="J667" s="8"/>
      <c r="K667" s="62"/>
      <c r="L667" s="1"/>
    </row>
    <row r="668" ht="15.6" spans="1:12">
      <c r="A668" s="6"/>
      <c r="B668" s="6"/>
      <c r="C668" s="60"/>
      <c r="D668" s="23"/>
      <c r="E668" s="61"/>
      <c r="F668" s="11"/>
      <c r="G668" s="11"/>
      <c r="H668" s="11"/>
      <c r="I668" s="8"/>
      <c r="J668" s="8"/>
      <c r="K668" s="62"/>
      <c r="L668" s="1"/>
    </row>
    <row r="669" ht="15.6" spans="1:12">
      <c r="A669" s="6"/>
      <c r="B669" s="6"/>
      <c r="C669" s="60"/>
      <c r="D669" s="23"/>
      <c r="E669" s="61"/>
      <c r="F669" s="11"/>
      <c r="G669" s="11"/>
      <c r="H669" s="11"/>
      <c r="I669" s="8"/>
      <c r="J669" s="8"/>
      <c r="K669" s="62"/>
      <c r="L669" s="1"/>
    </row>
    <row r="670" ht="15.6" spans="1:12">
      <c r="A670" s="6"/>
      <c r="B670" s="6"/>
      <c r="C670" s="60"/>
      <c r="D670" s="23"/>
      <c r="E670" s="61"/>
      <c r="F670" s="11"/>
      <c r="G670" s="11"/>
      <c r="H670" s="11"/>
      <c r="I670" s="8"/>
      <c r="J670" s="8"/>
      <c r="K670" s="62"/>
      <c r="L670" s="1"/>
    </row>
    <row r="671" ht="15.6" spans="1:12">
      <c r="A671" s="6"/>
      <c r="B671" s="6"/>
      <c r="C671" s="60"/>
      <c r="D671" s="23"/>
      <c r="E671" s="61"/>
      <c r="F671" s="11"/>
      <c r="G671" s="11"/>
      <c r="H671" s="11"/>
      <c r="I671" s="8"/>
      <c r="J671" s="8"/>
      <c r="K671" s="62"/>
      <c r="L671" s="1"/>
    </row>
    <row r="672" ht="15.6" spans="1:12">
      <c r="A672" s="6"/>
      <c r="B672" s="6"/>
      <c r="C672" s="60"/>
      <c r="D672" s="23"/>
      <c r="E672" s="61"/>
      <c r="F672" s="11"/>
      <c r="G672" s="11"/>
      <c r="H672" s="11"/>
      <c r="I672" s="8"/>
      <c r="J672" s="8"/>
      <c r="K672" s="62"/>
      <c r="L672" s="1"/>
    </row>
    <row r="673" ht="15.6" spans="1:12">
      <c r="A673" s="6"/>
      <c r="B673" s="6"/>
      <c r="C673" s="60"/>
      <c r="D673" s="23"/>
      <c r="E673" s="61"/>
      <c r="F673" s="11"/>
      <c r="G673" s="11"/>
      <c r="H673" s="11"/>
      <c r="I673" s="8"/>
      <c r="J673" s="8"/>
      <c r="K673" s="62"/>
      <c r="L673" s="1"/>
    </row>
    <row r="674" ht="15.6" spans="1:12">
      <c r="A674" s="6"/>
      <c r="B674" s="6"/>
      <c r="C674" s="60"/>
      <c r="D674" s="23"/>
      <c r="E674" s="61"/>
      <c r="F674" s="11"/>
      <c r="G674" s="11"/>
      <c r="H674" s="11"/>
      <c r="I674" s="8"/>
      <c r="J674" s="8"/>
      <c r="K674" s="62"/>
      <c r="L674" s="1"/>
    </row>
    <row r="675" ht="15.6" spans="1:12">
      <c r="A675" s="6"/>
      <c r="B675" s="6"/>
      <c r="C675" s="60"/>
      <c r="D675" s="23"/>
      <c r="E675" s="61"/>
      <c r="F675" s="11"/>
      <c r="G675" s="11"/>
      <c r="H675" s="11"/>
      <c r="I675" s="8"/>
      <c r="J675" s="8"/>
      <c r="K675" s="62"/>
      <c r="L675" s="1"/>
    </row>
    <row r="676" ht="15.6" spans="1:12">
      <c r="A676" s="6"/>
      <c r="B676" s="6"/>
      <c r="C676" s="60"/>
      <c r="D676" s="23"/>
      <c r="E676" s="61"/>
      <c r="F676" s="11"/>
      <c r="G676" s="11"/>
      <c r="H676" s="11"/>
      <c r="I676" s="8"/>
      <c r="J676" s="8"/>
      <c r="K676" s="62"/>
      <c r="L676" s="1"/>
    </row>
    <row r="677" ht="15.6" spans="1:12">
      <c r="A677" s="6"/>
      <c r="B677" s="6"/>
      <c r="C677" s="60"/>
      <c r="D677" s="23"/>
      <c r="E677" s="61"/>
      <c r="F677" s="11"/>
      <c r="G677" s="11"/>
      <c r="H677" s="11"/>
      <c r="I677" s="8"/>
      <c r="J677" s="8"/>
      <c r="K677" s="62"/>
      <c r="L677" s="1"/>
    </row>
    <row r="678" ht="15.6" spans="1:12">
      <c r="A678" s="6"/>
      <c r="B678" s="6"/>
      <c r="C678" s="60"/>
      <c r="D678" s="23"/>
      <c r="E678" s="61"/>
      <c r="F678" s="11"/>
      <c r="G678" s="11"/>
      <c r="H678" s="11"/>
      <c r="I678" s="8"/>
      <c r="J678" s="8"/>
      <c r="K678" s="62"/>
      <c r="L678" s="1"/>
    </row>
    <row r="679" ht="15.6" spans="1:12">
      <c r="A679" s="6"/>
      <c r="B679" s="6"/>
      <c r="C679" s="60"/>
      <c r="D679" s="23"/>
      <c r="E679" s="61"/>
      <c r="F679" s="11"/>
      <c r="G679" s="11"/>
      <c r="H679" s="11"/>
      <c r="I679" s="8"/>
      <c r="J679" s="8"/>
      <c r="K679" s="62"/>
      <c r="L679" s="1"/>
    </row>
    <row r="680" ht="15.6" spans="1:12">
      <c r="A680" s="6"/>
      <c r="B680" s="6"/>
      <c r="C680" s="60"/>
      <c r="D680" s="23"/>
      <c r="E680" s="61"/>
      <c r="F680" s="11"/>
      <c r="G680" s="11"/>
      <c r="H680" s="11"/>
      <c r="I680" s="8"/>
      <c r="J680" s="8"/>
      <c r="K680" s="62"/>
      <c r="L680" s="1"/>
    </row>
    <row r="681" ht="15.6" spans="1:12">
      <c r="A681" s="6"/>
      <c r="B681" s="6"/>
      <c r="C681" s="60"/>
      <c r="D681" s="23"/>
      <c r="E681" s="61"/>
      <c r="F681" s="11"/>
      <c r="G681" s="11"/>
      <c r="H681" s="11"/>
      <c r="I681" s="8"/>
      <c r="J681" s="8"/>
      <c r="K681" s="62"/>
      <c r="L681" s="1"/>
    </row>
    <row r="682" ht="15.6" spans="1:12">
      <c r="A682" s="6"/>
      <c r="B682" s="6"/>
      <c r="C682" s="60"/>
      <c r="D682" s="23"/>
      <c r="E682" s="61"/>
      <c r="F682" s="11"/>
      <c r="G682" s="11"/>
      <c r="H682" s="11"/>
      <c r="I682" s="8"/>
      <c r="J682" s="8"/>
      <c r="K682" s="62"/>
      <c r="L682" s="1"/>
    </row>
    <row r="683" ht="15.6" spans="1:12">
      <c r="A683" s="6"/>
      <c r="B683" s="6"/>
      <c r="C683" s="60"/>
      <c r="D683" s="23"/>
      <c r="E683" s="61"/>
      <c r="F683" s="11"/>
      <c r="G683" s="11"/>
      <c r="H683" s="11"/>
      <c r="I683" s="8"/>
      <c r="J683" s="8"/>
      <c r="K683" s="62"/>
      <c r="L683" s="1"/>
    </row>
    <row r="684" ht="15.6" spans="1:12">
      <c r="A684" s="6"/>
      <c r="B684" s="6"/>
      <c r="C684" s="60"/>
      <c r="D684" s="23"/>
      <c r="E684" s="61"/>
      <c r="F684" s="11"/>
      <c r="G684" s="11"/>
      <c r="H684" s="11"/>
      <c r="I684" s="8"/>
      <c r="J684" s="8"/>
      <c r="K684" s="62"/>
      <c r="L684" s="1"/>
    </row>
    <row r="685" ht="15.6" spans="1:12">
      <c r="A685" s="6"/>
      <c r="B685" s="6"/>
      <c r="C685" s="60"/>
      <c r="D685" s="23"/>
      <c r="E685" s="61"/>
      <c r="F685" s="11"/>
      <c r="G685" s="11"/>
      <c r="H685" s="11"/>
      <c r="I685" s="8"/>
      <c r="J685" s="8"/>
      <c r="K685" s="62"/>
      <c r="L685" s="1"/>
    </row>
    <row r="686" ht="15.6" spans="1:12">
      <c r="A686" s="6"/>
      <c r="B686" s="6"/>
      <c r="C686" s="60"/>
      <c r="D686" s="23"/>
      <c r="E686" s="61"/>
      <c r="F686" s="11"/>
      <c r="G686" s="11"/>
      <c r="H686" s="11"/>
      <c r="I686" s="8"/>
      <c r="J686" s="8"/>
      <c r="K686" s="62"/>
      <c r="L686" s="1"/>
    </row>
    <row r="687" ht="15.6" spans="1:12">
      <c r="A687" s="6"/>
      <c r="B687" s="6"/>
      <c r="C687" s="60"/>
      <c r="D687" s="23"/>
      <c r="E687" s="61"/>
      <c r="F687" s="11"/>
      <c r="G687" s="11"/>
      <c r="H687" s="11"/>
      <c r="I687" s="8"/>
      <c r="J687" s="8"/>
      <c r="K687" s="62"/>
      <c r="L687" s="1"/>
    </row>
    <row r="688" ht="15.6" spans="1:12">
      <c r="A688" s="6"/>
      <c r="B688" s="6"/>
      <c r="C688" s="60"/>
      <c r="D688" s="23"/>
      <c r="E688" s="61"/>
      <c r="F688" s="11"/>
      <c r="G688" s="11"/>
      <c r="H688" s="11"/>
      <c r="I688" s="8"/>
      <c r="J688" s="8"/>
      <c r="K688" s="62"/>
      <c r="L688" s="1"/>
    </row>
    <row r="689" ht="15.6" spans="1:12">
      <c r="A689" s="6"/>
      <c r="B689" s="6"/>
      <c r="C689" s="60"/>
      <c r="D689" s="23"/>
      <c r="E689" s="61"/>
      <c r="F689" s="11"/>
      <c r="G689" s="11"/>
      <c r="H689" s="11"/>
      <c r="I689" s="8"/>
      <c r="J689" s="8"/>
      <c r="K689" s="62"/>
      <c r="L689" s="1"/>
    </row>
    <row r="690" ht="15.6" spans="1:12">
      <c r="A690" s="6"/>
      <c r="B690" s="6"/>
      <c r="C690" s="60"/>
      <c r="D690" s="23"/>
      <c r="E690" s="61"/>
      <c r="F690" s="11"/>
      <c r="G690" s="11"/>
      <c r="H690" s="11"/>
      <c r="I690" s="8"/>
      <c r="J690" s="8"/>
      <c r="K690" s="62"/>
      <c r="L690" s="1"/>
    </row>
    <row r="691" ht="15.6" spans="1:12">
      <c r="A691" s="6"/>
      <c r="B691" s="6"/>
      <c r="C691" s="60"/>
      <c r="D691" s="23"/>
      <c r="E691" s="61"/>
      <c r="F691" s="11"/>
      <c r="G691" s="11"/>
      <c r="H691" s="11"/>
      <c r="I691" s="8"/>
      <c r="J691" s="8"/>
      <c r="K691" s="62"/>
      <c r="L691" s="1"/>
    </row>
    <row r="692" ht="15.6" spans="1:12">
      <c r="A692" s="6"/>
      <c r="B692" s="6"/>
      <c r="C692" s="60"/>
      <c r="D692" s="23"/>
      <c r="E692" s="61"/>
      <c r="F692" s="11"/>
      <c r="G692" s="11"/>
      <c r="H692" s="11"/>
      <c r="I692" s="8"/>
      <c r="J692" s="8"/>
      <c r="K692" s="62"/>
      <c r="L692" s="1"/>
    </row>
    <row r="693" ht="15.6" spans="1:12">
      <c r="A693" s="6"/>
      <c r="B693" s="6"/>
      <c r="C693" s="60"/>
      <c r="D693" s="23"/>
      <c r="E693" s="61"/>
      <c r="F693" s="11"/>
      <c r="G693" s="11"/>
      <c r="H693" s="11"/>
      <c r="I693" s="8"/>
      <c r="J693" s="8"/>
      <c r="K693" s="62"/>
      <c r="L693" s="1"/>
    </row>
    <row r="694" ht="15.6" spans="1:12">
      <c r="A694" s="6"/>
      <c r="B694" s="6"/>
      <c r="C694" s="60"/>
      <c r="D694" s="23"/>
      <c r="E694" s="61"/>
      <c r="F694" s="11"/>
      <c r="G694" s="11"/>
      <c r="H694" s="11"/>
      <c r="I694" s="8"/>
      <c r="J694" s="8"/>
      <c r="K694" s="62"/>
      <c r="L694" s="1"/>
    </row>
    <row r="695" ht="15.6" spans="1:12">
      <c r="A695" s="6"/>
      <c r="B695" s="6"/>
      <c r="C695" s="60"/>
      <c r="D695" s="23"/>
      <c r="E695" s="61"/>
      <c r="F695" s="11"/>
      <c r="G695" s="11"/>
      <c r="H695" s="11"/>
      <c r="I695" s="8"/>
      <c r="J695" s="8"/>
      <c r="K695" s="62"/>
      <c r="L695" s="1"/>
    </row>
    <row r="696" ht="15.6" spans="1:12">
      <c r="A696" s="6"/>
      <c r="B696" s="6"/>
      <c r="C696" s="60"/>
      <c r="D696" s="23"/>
      <c r="E696" s="61"/>
      <c r="F696" s="11"/>
      <c r="G696" s="11"/>
      <c r="H696" s="11"/>
      <c r="I696" s="8"/>
      <c r="J696" s="8"/>
      <c r="K696" s="62"/>
      <c r="L696" s="1"/>
    </row>
    <row r="697" ht="15.6" spans="1:12">
      <c r="A697" s="6"/>
      <c r="B697" s="6"/>
      <c r="C697" s="60"/>
      <c r="D697" s="23"/>
      <c r="E697" s="61"/>
      <c r="F697" s="11"/>
      <c r="G697" s="11"/>
      <c r="H697" s="11"/>
      <c r="I697" s="8"/>
      <c r="J697" s="8"/>
      <c r="K697" s="62"/>
      <c r="L697" s="1"/>
    </row>
    <row r="698" ht="15.6" spans="1:12">
      <c r="A698" s="6"/>
      <c r="B698" s="6"/>
      <c r="C698" s="60"/>
      <c r="D698" s="23"/>
      <c r="E698" s="61"/>
      <c r="F698" s="11"/>
      <c r="G698" s="11"/>
      <c r="H698" s="11"/>
      <c r="I698" s="8"/>
      <c r="J698" s="8"/>
      <c r="K698" s="62"/>
      <c r="L698" s="1"/>
    </row>
    <row r="699" ht="15.6" spans="1:12">
      <c r="A699" s="6"/>
      <c r="B699" s="6"/>
      <c r="C699" s="60"/>
      <c r="D699" s="23"/>
      <c r="E699" s="61"/>
      <c r="F699" s="11"/>
      <c r="G699" s="11"/>
      <c r="H699" s="11"/>
      <c r="I699" s="8"/>
      <c r="J699" s="8"/>
      <c r="K699" s="62"/>
      <c r="L699" s="1"/>
    </row>
    <row r="700" ht="15.6" spans="1:12">
      <c r="A700" s="6"/>
      <c r="B700" s="6"/>
      <c r="C700" s="60"/>
      <c r="D700" s="23"/>
      <c r="E700" s="61"/>
      <c r="F700" s="11"/>
      <c r="G700" s="11"/>
      <c r="H700" s="11"/>
      <c r="I700" s="8"/>
      <c r="J700" s="8"/>
      <c r="K700" s="62"/>
      <c r="L700" s="1"/>
    </row>
    <row r="701" ht="15.6" spans="1:12">
      <c r="A701" s="6"/>
      <c r="B701" s="6"/>
      <c r="C701" s="60"/>
      <c r="D701" s="23"/>
      <c r="E701" s="61"/>
      <c r="F701" s="11"/>
      <c r="G701" s="11"/>
      <c r="H701" s="11"/>
      <c r="I701" s="8"/>
      <c r="J701" s="8"/>
      <c r="K701" s="62"/>
      <c r="L701" s="1"/>
    </row>
    <row r="702" ht="15.6" spans="1:12">
      <c r="A702" s="6"/>
      <c r="B702" s="6"/>
      <c r="C702" s="60"/>
      <c r="D702" s="23"/>
      <c r="E702" s="61"/>
      <c r="F702" s="11"/>
      <c r="G702" s="11"/>
      <c r="H702" s="11"/>
      <c r="I702" s="8"/>
      <c r="J702" s="8"/>
      <c r="K702" s="62"/>
      <c r="L702" s="1"/>
    </row>
    <row r="703" ht="15.6" spans="1:12">
      <c r="A703" s="6"/>
      <c r="B703" s="6"/>
      <c r="C703" s="60"/>
      <c r="D703" s="23"/>
      <c r="E703" s="61"/>
      <c r="F703" s="11"/>
      <c r="G703" s="11"/>
      <c r="H703" s="11"/>
      <c r="I703" s="8"/>
      <c r="J703" s="8"/>
      <c r="K703" s="62"/>
      <c r="L703" s="1"/>
    </row>
    <row r="704" ht="15.6" spans="1:12">
      <c r="A704" s="6"/>
      <c r="B704" s="6"/>
      <c r="C704" s="60"/>
      <c r="D704" s="23"/>
      <c r="E704" s="61"/>
      <c r="F704" s="11"/>
      <c r="G704" s="11"/>
      <c r="H704" s="11"/>
      <c r="I704" s="8"/>
      <c r="J704" s="8"/>
      <c r="K704" s="62"/>
      <c r="L704" s="1"/>
    </row>
    <row r="705" ht="15.6" spans="1:12">
      <c r="A705" s="6"/>
      <c r="B705" s="6"/>
      <c r="C705" s="60"/>
      <c r="D705" s="23"/>
      <c r="E705" s="61"/>
      <c r="F705" s="11"/>
      <c r="G705" s="11"/>
      <c r="H705" s="11"/>
      <c r="I705" s="8"/>
      <c r="J705" s="8"/>
      <c r="K705" s="62"/>
      <c r="L705" s="1"/>
    </row>
    <row r="706" ht="15.6" spans="1:12">
      <c r="A706" s="6"/>
      <c r="B706" s="6"/>
      <c r="C706" s="60"/>
      <c r="D706" s="23"/>
      <c r="E706" s="61"/>
      <c r="F706" s="11"/>
      <c r="G706" s="11"/>
      <c r="H706" s="11"/>
      <c r="I706" s="8"/>
      <c r="J706" s="8"/>
      <c r="K706" s="62"/>
      <c r="L706" s="1"/>
    </row>
    <row r="707" ht="15.6" spans="1:12">
      <c r="A707" s="6"/>
      <c r="B707" s="6"/>
      <c r="C707" s="60"/>
      <c r="D707" s="23"/>
      <c r="E707" s="61"/>
      <c r="F707" s="11"/>
      <c r="G707" s="11"/>
      <c r="H707" s="11"/>
      <c r="I707" s="8"/>
      <c r="J707" s="8"/>
      <c r="K707" s="62"/>
      <c r="L707" s="1"/>
    </row>
    <row r="708" ht="15.6" spans="1:12">
      <c r="A708" s="6"/>
      <c r="B708" s="6"/>
      <c r="C708" s="60"/>
      <c r="D708" s="23"/>
      <c r="E708" s="61"/>
      <c r="F708" s="11"/>
      <c r="G708" s="11"/>
      <c r="H708" s="11"/>
      <c r="I708" s="8"/>
      <c r="J708" s="8"/>
      <c r="K708" s="62"/>
      <c r="L708" s="1"/>
    </row>
    <row r="709" ht="15.6" spans="1:12">
      <c r="A709" s="6"/>
      <c r="B709" s="6"/>
      <c r="C709" s="60"/>
      <c r="D709" s="23"/>
      <c r="E709" s="61"/>
      <c r="F709" s="11"/>
      <c r="G709" s="11"/>
      <c r="H709" s="11"/>
      <c r="I709" s="8"/>
      <c r="J709" s="8"/>
      <c r="K709" s="62"/>
      <c r="L709" s="1"/>
    </row>
    <row r="710" ht="15.6" spans="1:12">
      <c r="A710" s="6"/>
      <c r="B710" s="6"/>
      <c r="C710" s="60"/>
      <c r="D710" s="23"/>
      <c r="E710" s="61"/>
      <c r="F710" s="11"/>
      <c r="G710" s="11"/>
      <c r="H710" s="11"/>
      <c r="I710" s="8"/>
      <c r="J710" s="8"/>
      <c r="K710" s="62"/>
      <c r="L710" s="1"/>
    </row>
    <row r="711" ht="15.6" spans="1:12">
      <c r="A711" s="6"/>
      <c r="B711" s="6"/>
      <c r="C711" s="60"/>
      <c r="D711" s="23"/>
      <c r="E711" s="61"/>
      <c r="F711" s="11"/>
      <c r="G711" s="11"/>
      <c r="H711" s="11"/>
      <c r="I711" s="8"/>
      <c r="J711" s="8"/>
      <c r="K711" s="62"/>
      <c r="L711" s="1"/>
    </row>
    <row r="712" ht="15.6" spans="1:12">
      <c r="A712" s="6"/>
      <c r="B712" s="6"/>
      <c r="C712" s="60"/>
      <c r="D712" s="23"/>
      <c r="E712" s="61"/>
      <c r="F712" s="11"/>
      <c r="G712" s="11"/>
      <c r="H712" s="11"/>
      <c r="I712" s="8"/>
      <c r="J712" s="8"/>
      <c r="K712" s="62"/>
      <c r="L712" s="1"/>
    </row>
    <row r="713" ht="15.6" spans="1:12">
      <c r="A713" s="6"/>
      <c r="B713" s="6"/>
      <c r="C713" s="60"/>
      <c r="D713" s="23"/>
      <c r="E713" s="61"/>
      <c r="F713" s="11"/>
      <c r="G713" s="11"/>
      <c r="H713" s="11"/>
      <c r="I713" s="8"/>
      <c r="J713" s="8"/>
      <c r="K713" s="62"/>
      <c r="L713" s="1"/>
    </row>
    <row r="714" ht="15.6" spans="1:12">
      <c r="A714" s="6"/>
      <c r="B714" s="6"/>
      <c r="C714" s="60"/>
      <c r="D714" s="23"/>
      <c r="E714" s="61"/>
      <c r="F714" s="11"/>
      <c r="G714" s="11"/>
      <c r="H714" s="11"/>
      <c r="I714" s="8"/>
      <c r="J714" s="8"/>
      <c r="K714" s="62"/>
      <c r="L714" s="1"/>
    </row>
    <row r="715" ht="15.6" spans="1:12">
      <c r="A715" s="6"/>
      <c r="B715" s="6"/>
      <c r="C715" s="60"/>
      <c r="D715" s="23"/>
      <c r="E715" s="61"/>
      <c r="F715" s="11"/>
      <c r="G715" s="11"/>
      <c r="H715" s="11"/>
      <c r="I715" s="8"/>
      <c r="J715" s="8"/>
      <c r="K715" s="62"/>
      <c r="L715" s="1"/>
    </row>
    <row r="716" ht="15.6" spans="1:12">
      <c r="A716" s="6"/>
      <c r="B716" s="6"/>
      <c r="C716" s="60"/>
      <c r="D716" s="23"/>
      <c r="E716" s="61"/>
      <c r="F716" s="11"/>
      <c r="G716" s="11"/>
      <c r="H716" s="11"/>
      <c r="I716" s="8"/>
      <c r="J716" s="8"/>
      <c r="K716" s="62"/>
      <c r="L716" s="1"/>
    </row>
    <row r="717" ht="15.6" spans="1:12">
      <c r="A717" s="6"/>
      <c r="B717" s="6"/>
      <c r="C717" s="60"/>
      <c r="D717" s="23"/>
      <c r="E717" s="61"/>
      <c r="F717" s="11"/>
      <c r="G717" s="11"/>
      <c r="H717" s="11"/>
      <c r="I717" s="8"/>
      <c r="J717" s="8"/>
      <c r="K717" s="62"/>
      <c r="L717" s="1"/>
    </row>
    <row r="718" ht="15.6" spans="1:12">
      <c r="A718" s="6"/>
      <c r="B718" s="6"/>
      <c r="C718" s="60"/>
      <c r="D718" s="23"/>
      <c r="E718" s="61"/>
      <c r="F718" s="11"/>
      <c r="G718" s="11"/>
      <c r="H718" s="11"/>
      <c r="I718" s="8"/>
      <c r="J718" s="8"/>
      <c r="K718" s="62"/>
      <c r="L718" s="1"/>
    </row>
    <row r="719" ht="15.6" spans="1:12">
      <c r="A719" s="6"/>
      <c r="B719" s="6"/>
      <c r="C719" s="60"/>
      <c r="D719" s="23"/>
      <c r="E719" s="61"/>
      <c r="F719" s="11"/>
      <c r="G719" s="11"/>
      <c r="H719" s="11"/>
      <c r="I719" s="8"/>
      <c r="J719" s="8"/>
      <c r="K719" s="62"/>
      <c r="L719" s="1"/>
    </row>
    <row r="720" ht="15.6" spans="1:12">
      <c r="A720" s="6"/>
      <c r="B720" s="6"/>
      <c r="C720" s="60"/>
      <c r="D720" s="23"/>
      <c r="E720" s="61"/>
      <c r="F720" s="11"/>
      <c r="G720" s="11"/>
      <c r="H720" s="11"/>
      <c r="I720" s="8"/>
      <c r="J720" s="8"/>
      <c r="K720" s="62"/>
      <c r="L720" s="1"/>
    </row>
    <row r="721" ht="15.6" spans="1:12">
      <c r="A721" s="6"/>
      <c r="B721" s="6"/>
      <c r="C721" s="60"/>
      <c r="D721" s="23"/>
      <c r="E721" s="61"/>
      <c r="F721" s="11"/>
      <c r="G721" s="11"/>
      <c r="H721" s="11"/>
      <c r="I721" s="8"/>
      <c r="J721" s="8"/>
      <c r="K721" s="62"/>
      <c r="L721" s="1"/>
    </row>
    <row r="722" ht="15.6" spans="1:12">
      <c r="A722" s="6"/>
      <c r="B722" s="6"/>
      <c r="C722" s="60"/>
      <c r="D722" s="23"/>
      <c r="E722" s="61"/>
      <c r="F722" s="11"/>
      <c r="G722" s="11"/>
      <c r="H722" s="11"/>
      <c r="I722" s="8"/>
      <c r="J722" s="8"/>
      <c r="K722" s="62"/>
      <c r="L722" s="1"/>
    </row>
    <row r="723" ht="15.6" spans="1:12">
      <c r="A723" s="6"/>
      <c r="B723" s="6"/>
      <c r="C723" s="60"/>
      <c r="D723" s="23"/>
      <c r="E723" s="61"/>
      <c r="F723" s="11"/>
      <c r="G723" s="11"/>
      <c r="H723" s="11"/>
      <c r="I723" s="8"/>
      <c r="J723" s="8"/>
      <c r="K723" s="62"/>
      <c r="L723" s="1"/>
    </row>
    <row r="724" ht="15.6" spans="1:12">
      <c r="A724" s="6"/>
      <c r="B724" s="6"/>
      <c r="C724" s="60"/>
      <c r="D724" s="23"/>
      <c r="E724" s="61"/>
      <c r="F724" s="11"/>
      <c r="G724" s="11"/>
      <c r="H724" s="11"/>
      <c r="I724" s="8"/>
      <c r="J724" s="8"/>
      <c r="K724" s="62"/>
      <c r="L724" s="1"/>
    </row>
    <row r="725" ht="15.6" spans="1:12">
      <c r="A725" s="6"/>
      <c r="B725" s="6"/>
      <c r="C725" s="60"/>
      <c r="D725" s="23"/>
      <c r="E725" s="61"/>
      <c r="F725" s="11"/>
      <c r="G725" s="11"/>
      <c r="H725" s="11"/>
      <c r="I725" s="8"/>
      <c r="J725" s="8"/>
      <c r="K725" s="62"/>
      <c r="L725" s="1"/>
    </row>
    <row r="726" ht="15.6" spans="1:12">
      <c r="A726" s="6"/>
      <c r="B726" s="6"/>
      <c r="C726" s="60"/>
      <c r="D726" s="23"/>
      <c r="E726" s="61"/>
      <c r="F726" s="11"/>
      <c r="G726" s="11"/>
      <c r="H726" s="11"/>
      <c r="I726" s="8"/>
      <c r="J726" s="8"/>
      <c r="K726" s="62"/>
      <c r="L726" s="1"/>
    </row>
    <row r="727" ht="15.6" spans="1:12">
      <c r="A727" s="6"/>
      <c r="B727" s="6"/>
      <c r="C727" s="60"/>
      <c r="D727" s="23"/>
      <c r="E727" s="61"/>
      <c r="F727" s="11"/>
      <c r="G727" s="11"/>
      <c r="H727" s="11"/>
      <c r="I727" s="8"/>
      <c r="J727" s="8"/>
      <c r="K727" s="62"/>
      <c r="L727" s="1"/>
    </row>
    <row r="728" ht="15.6" spans="1:12">
      <c r="A728" s="6"/>
      <c r="B728" s="6"/>
      <c r="C728" s="60"/>
      <c r="D728" s="23"/>
      <c r="E728" s="61"/>
      <c r="F728" s="11"/>
      <c r="G728" s="11"/>
      <c r="H728" s="11"/>
      <c r="I728" s="8"/>
      <c r="J728" s="8"/>
      <c r="K728" s="62"/>
      <c r="L728" s="1"/>
    </row>
    <row r="729" ht="15.6" spans="1:12">
      <c r="A729" s="6"/>
      <c r="B729" s="6"/>
      <c r="C729" s="60"/>
      <c r="D729" s="23"/>
      <c r="E729" s="61"/>
      <c r="F729" s="11"/>
      <c r="G729" s="11"/>
      <c r="H729" s="11"/>
      <c r="I729" s="8"/>
      <c r="J729" s="8"/>
      <c r="K729" s="62"/>
      <c r="L729" s="1"/>
    </row>
    <row r="730" ht="15.6" spans="1:12">
      <c r="A730" s="6"/>
      <c r="B730" s="6"/>
      <c r="C730" s="60"/>
      <c r="D730" s="23"/>
      <c r="E730" s="61"/>
      <c r="F730" s="11"/>
      <c r="G730" s="11"/>
      <c r="H730" s="11"/>
      <c r="I730" s="8"/>
      <c r="J730" s="8"/>
      <c r="K730" s="62"/>
      <c r="L730" s="1"/>
    </row>
    <row r="731" ht="15.6" spans="1:12">
      <c r="A731" s="6"/>
      <c r="B731" s="6"/>
      <c r="C731" s="60"/>
      <c r="D731" s="23"/>
      <c r="E731" s="61"/>
      <c r="F731" s="11"/>
      <c r="G731" s="11"/>
      <c r="H731" s="11"/>
      <c r="I731" s="8"/>
      <c r="J731" s="8"/>
      <c r="K731" s="62"/>
      <c r="L731" s="1"/>
    </row>
    <row r="732" ht="15.6" spans="1:12">
      <c r="A732" s="6"/>
      <c r="B732" s="6"/>
      <c r="C732" s="60"/>
      <c r="D732" s="23"/>
      <c r="E732" s="61"/>
      <c r="F732" s="11"/>
      <c r="G732" s="11"/>
      <c r="H732" s="11"/>
      <c r="I732" s="8"/>
      <c r="J732" s="8"/>
      <c r="K732" s="62"/>
      <c r="L732" s="1"/>
    </row>
    <row r="733" ht="15.6" spans="1:12">
      <c r="A733" s="6"/>
      <c r="B733" s="6"/>
      <c r="C733" s="60"/>
      <c r="D733" s="23"/>
      <c r="E733" s="61"/>
      <c r="F733" s="11"/>
      <c r="G733" s="11"/>
      <c r="H733" s="11"/>
      <c r="I733" s="8"/>
      <c r="J733" s="8"/>
      <c r="K733" s="62"/>
      <c r="L733" s="1"/>
    </row>
    <row r="734" ht="15.6" spans="1:12">
      <c r="A734" s="6"/>
      <c r="B734" s="6"/>
      <c r="C734" s="60"/>
      <c r="D734" s="23"/>
      <c r="E734" s="61"/>
      <c r="F734" s="11"/>
      <c r="G734" s="11"/>
      <c r="H734" s="11"/>
      <c r="I734" s="8"/>
      <c r="J734" s="8"/>
      <c r="K734" s="62"/>
      <c r="L734" s="1"/>
    </row>
    <row r="735" ht="15.6" spans="1:12">
      <c r="A735" s="6"/>
      <c r="B735" s="6"/>
      <c r="C735" s="60"/>
      <c r="D735" s="23"/>
      <c r="E735" s="61"/>
      <c r="F735" s="11"/>
      <c r="G735" s="11"/>
      <c r="H735" s="11"/>
      <c r="I735" s="8"/>
      <c r="J735" s="8"/>
      <c r="K735" s="62"/>
      <c r="L735" s="1"/>
    </row>
    <row r="736" ht="15.6" spans="1:12">
      <c r="A736" s="6"/>
      <c r="B736" s="6"/>
      <c r="C736" s="60"/>
      <c r="D736" s="23"/>
      <c r="E736" s="61"/>
      <c r="F736" s="11"/>
      <c r="G736" s="11"/>
      <c r="H736" s="11"/>
      <c r="I736" s="8"/>
      <c r="J736" s="8"/>
      <c r="K736" s="62"/>
      <c r="L736" s="1"/>
    </row>
    <row r="737" ht="15.6" spans="1:12">
      <c r="A737" s="6"/>
      <c r="B737" s="6"/>
      <c r="C737" s="60"/>
      <c r="D737" s="23"/>
      <c r="E737" s="61"/>
      <c r="F737" s="11"/>
      <c r="G737" s="11"/>
      <c r="H737" s="11"/>
      <c r="I737" s="8"/>
      <c r="J737" s="8"/>
      <c r="K737" s="62"/>
      <c r="L737" s="1"/>
    </row>
    <row r="738" ht="15.6" spans="1:12">
      <c r="A738" s="6"/>
      <c r="B738" s="6"/>
      <c r="C738" s="60"/>
      <c r="D738" s="23"/>
      <c r="E738" s="61"/>
      <c r="F738" s="11"/>
      <c r="G738" s="11"/>
      <c r="H738" s="11"/>
      <c r="I738" s="8"/>
      <c r="J738" s="8"/>
      <c r="K738" s="62"/>
      <c r="L738" s="1"/>
    </row>
    <row r="739" ht="15.6" spans="1:12">
      <c r="A739" s="6"/>
      <c r="B739" s="6"/>
      <c r="C739" s="60"/>
      <c r="D739" s="23"/>
      <c r="E739" s="61"/>
      <c r="F739" s="11"/>
      <c r="G739" s="11"/>
      <c r="H739" s="11"/>
      <c r="I739" s="8"/>
      <c r="J739" s="8"/>
      <c r="K739" s="62"/>
      <c r="L739" s="1"/>
    </row>
    <row r="740" ht="15.6" spans="1:12">
      <c r="A740" s="6"/>
      <c r="B740" s="6"/>
      <c r="C740" s="60"/>
      <c r="D740" s="23"/>
      <c r="E740" s="61"/>
      <c r="F740" s="11"/>
      <c r="G740" s="11"/>
      <c r="H740" s="11"/>
      <c r="I740" s="8"/>
      <c r="J740" s="8"/>
      <c r="K740" s="62"/>
      <c r="L740" s="1"/>
    </row>
    <row r="741" ht="15.6" spans="1:12">
      <c r="A741" s="6"/>
      <c r="B741" s="6"/>
      <c r="C741" s="60"/>
      <c r="D741" s="23"/>
      <c r="E741" s="61"/>
      <c r="F741" s="11"/>
      <c r="G741" s="11"/>
      <c r="H741" s="11"/>
      <c r="I741" s="8"/>
      <c r="J741" s="8"/>
      <c r="K741" s="62"/>
      <c r="L741" s="1"/>
    </row>
    <row r="742" ht="15.6" spans="1:12">
      <c r="A742" s="6"/>
      <c r="B742" s="6"/>
      <c r="C742" s="60"/>
      <c r="D742" s="23"/>
      <c r="E742" s="61"/>
      <c r="F742" s="11"/>
      <c r="G742" s="11"/>
      <c r="H742" s="11"/>
      <c r="I742" s="8"/>
      <c r="J742" s="8"/>
      <c r="K742" s="62"/>
      <c r="L742" s="1"/>
    </row>
    <row r="743" ht="15.6" spans="1:12">
      <c r="A743" s="6"/>
      <c r="B743" s="6"/>
      <c r="C743" s="60"/>
      <c r="D743" s="23"/>
      <c r="E743" s="61"/>
      <c r="F743" s="11"/>
      <c r="G743" s="11"/>
      <c r="H743" s="11"/>
      <c r="I743" s="8"/>
      <c r="J743" s="8"/>
      <c r="K743" s="62"/>
      <c r="L743" s="1"/>
    </row>
    <row r="744" ht="15.6" spans="1:12">
      <c r="A744" s="6"/>
      <c r="B744" s="6"/>
      <c r="C744" s="60"/>
      <c r="D744" s="23"/>
      <c r="E744" s="61"/>
      <c r="F744" s="11"/>
      <c r="G744" s="11"/>
      <c r="H744" s="11"/>
      <c r="I744" s="8"/>
      <c r="J744" s="8"/>
      <c r="K744" s="62"/>
      <c r="L744" s="1"/>
    </row>
    <row r="745" ht="15.6" spans="1:12">
      <c r="A745" s="6"/>
      <c r="B745" s="6"/>
      <c r="C745" s="60"/>
      <c r="D745" s="23"/>
      <c r="E745" s="61"/>
      <c r="F745" s="11"/>
      <c r="G745" s="11"/>
      <c r="H745" s="11"/>
      <c r="I745" s="8"/>
      <c r="J745" s="8"/>
      <c r="K745" s="62"/>
      <c r="L745" s="1"/>
    </row>
    <row r="746" ht="15.6" spans="1:12">
      <c r="A746" s="6"/>
      <c r="B746" s="6"/>
      <c r="C746" s="60"/>
      <c r="D746" s="23"/>
      <c r="E746" s="61"/>
      <c r="F746" s="11"/>
      <c r="G746" s="11"/>
      <c r="H746" s="11"/>
      <c r="I746" s="8"/>
      <c r="J746" s="8"/>
      <c r="K746" s="62"/>
      <c r="L746" s="1"/>
    </row>
    <row r="747" ht="15.6" spans="1:12">
      <c r="A747" s="6"/>
      <c r="B747" s="6"/>
      <c r="C747" s="60"/>
      <c r="D747" s="23"/>
      <c r="E747" s="61"/>
      <c r="F747" s="11"/>
      <c r="G747" s="11"/>
      <c r="H747" s="11"/>
      <c r="I747" s="8"/>
      <c r="J747" s="8"/>
      <c r="K747" s="62"/>
      <c r="L747" s="1"/>
    </row>
    <row r="748" ht="15.6" spans="1:12">
      <c r="A748" s="6"/>
      <c r="B748" s="6"/>
      <c r="C748" s="60"/>
      <c r="D748" s="23"/>
      <c r="E748" s="61"/>
      <c r="F748" s="11"/>
      <c r="G748" s="11"/>
      <c r="H748" s="11"/>
      <c r="I748" s="8"/>
      <c r="J748" s="8"/>
      <c r="K748" s="62"/>
      <c r="L748" s="1"/>
    </row>
    <row r="749" ht="15.6" spans="1:12">
      <c r="A749" s="6"/>
      <c r="B749" s="6"/>
      <c r="C749" s="60"/>
      <c r="D749" s="23"/>
      <c r="E749" s="61"/>
      <c r="F749" s="11"/>
      <c r="G749" s="11"/>
      <c r="H749" s="11"/>
      <c r="I749" s="8"/>
      <c r="J749" s="8"/>
      <c r="K749" s="62"/>
      <c r="L749" s="1"/>
    </row>
    <row r="750" ht="15.6" spans="1:12">
      <c r="A750" s="6"/>
      <c r="B750" s="6"/>
      <c r="C750" s="60"/>
      <c r="D750" s="23"/>
      <c r="E750" s="61"/>
      <c r="F750" s="11"/>
      <c r="G750" s="11"/>
      <c r="H750" s="11"/>
      <c r="I750" s="8"/>
      <c r="J750" s="8"/>
      <c r="K750" s="62"/>
      <c r="L750" s="1"/>
    </row>
    <row r="751" ht="15.6" spans="1:12">
      <c r="A751" s="6"/>
      <c r="B751" s="6"/>
      <c r="C751" s="60"/>
      <c r="D751" s="23"/>
      <c r="E751" s="61"/>
      <c r="F751" s="11"/>
      <c r="G751" s="11"/>
      <c r="H751" s="11"/>
      <c r="I751" s="8"/>
      <c r="J751" s="8"/>
      <c r="K751" s="62"/>
      <c r="L751" s="1"/>
    </row>
    <row r="752" ht="15.6" spans="1:12">
      <c r="A752" s="6"/>
      <c r="B752" s="6"/>
      <c r="C752" s="60"/>
      <c r="D752" s="23"/>
      <c r="E752" s="61"/>
      <c r="F752" s="11"/>
      <c r="G752" s="11"/>
      <c r="H752" s="11"/>
      <c r="I752" s="8"/>
      <c r="J752" s="8"/>
      <c r="K752" s="62"/>
      <c r="L752" s="1"/>
    </row>
    <row r="753" ht="15.6" spans="1:12">
      <c r="A753" s="6"/>
      <c r="B753" s="6"/>
      <c r="C753" s="60"/>
      <c r="D753" s="23"/>
      <c r="E753" s="61"/>
      <c r="F753" s="11"/>
      <c r="G753" s="11"/>
      <c r="H753" s="11"/>
      <c r="I753" s="8"/>
      <c r="J753" s="8"/>
      <c r="K753" s="62"/>
      <c r="L753" s="1"/>
    </row>
    <row r="754" ht="15.6" spans="1:12">
      <c r="A754" s="6"/>
      <c r="B754" s="6"/>
      <c r="C754" s="60"/>
      <c r="D754" s="23"/>
      <c r="E754" s="61"/>
      <c r="F754" s="11"/>
      <c r="G754" s="11"/>
      <c r="H754" s="11"/>
      <c r="I754" s="8"/>
      <c r="J754" s="8"/>
      <c r="K754" s="62"/>
      <c r="L754" s="1"/>
    </row>
    <row r="755" ht="15.6" spans="1:12">
      <c r="A755" s="6"/>
      <c r="B755" s="6"/>
      <c r="C755" s="60"/>
      <c r="D755" s="23"/>
      <c r="E755" s="61"/>
      <c r="F755" s="11"/>
      <c r="G755" s="11"/>
      <c r="H755" s="11"/>
      <c r="I755" s="8"/>
      <c r="J755" s="8"/>
      <c r="K755" s="62"/>
      <c r="L755" s="1"/>
    </row>
    <row r="756" ht="15.6" spans="1:12">
      <c r="A756" s="6"/>
      <c r="B756" s="6"/>
      <c r="C756" s="60"/>
      <c r="D756" s="23"/>
      <c r="E756" s="61"/>
      <c r="F756" s="11"/>
      <c r="G756" s="11"/>
      <c r="H756" s="11"/>
      <c r="I756" s="8"/>
      <c r="J756" s="8"/>
      <c r="K756" s="62"/>
      <c r="L756" s="1"/>
    </row>
    <row r="757" ht="15.6" spans="1:12">
      <c r="A757" s="6"/>
      <c r="B757" s="6"/>
      <c r="C757" s="60"/>
      <c r="D757" s="23"/>
      <c r="E757" s="61"/>
      <c r="F757" s="11"/>
      <c r="G757" s="11"/>
      <c r="H757" s="11"/>
      <c r="I757" s="8"/>
      <c r="J757" s="8"/>
      <c r="K757" s="62"/>
      <c r="L757" s="1"/>
    </row>
    <row r="758" ht="15.6" spans="1:12">
      <c r="A758" s="6"/>
      <c r="B758" s="6"/>
      <c r="C758" s="60"/>
      <c r="D758" s="23"/>
      <c r="E758" s="61"/>
      <c r="F758" s="11"/>
      <c r="G758" s="11"/>
      <c r="H758" s="11"/>
      <c r="I758" s="8"/>
      <c r="J758" s="8"/>
      <c r="K758" s="62"/>
      <c r="L758" s="1"/>
    </row>
    <row r="759" ht="15.6" spans="1:12">
      <c r="A759" s="6"/>
      <c r="B759" s="6"/>
      <c r="C759" s="60"/>
      <c r="D759" s="23"/>
      <c r="E759" s="61"/>
      <c r="F759" s="11"/>
      <c r="G759" s="11"/>
      <c r="H759" s="11"/>
      <c r="I759" s="8"/>
      <c r="J759" s="8"/>
      <c r="K759" s="62"/>
      <c r="L759" s="1"/>
    </row>
    <row r="760" ht="15.6" spans="1:12">
      <c r="A760" s="6"/>
      <c r="B760" s="6"/>
      <c r="C760" s="60"/>
      <c r="D760" s="23"/>
      <c r="E760" s="61"/>
      <c r="F760" s="11"/>
      <c r="G760" s="11"/>
      <c r="H760" s="11"/>
      <c r="I760" s="8"/>
      <c r="J760" s="8"/>
      <c r="K760" s="62"/>
      <c r="L760" s="1"/>
    </row>
    <row r="761" ht="15.6" spans="1:12">
      <c r="A761" s="6"/>
      <c r="B761" s="6"/>
      <c r="C761" s="60"/>
      <c r="D761" s="23"/>
      <c r="E761" s="61"/>
      <c r="F761" s="11"/>
      <c r="G761" s="11"/>
      <c r="H761" s="11"/>
      <c r="I761" s="8"/>
      <c r="J761" s="8"/>
      <c r="K761" s="62"/>
      <c r="L761" s="1"/>
    </row>
    <row r="762" ht="15.6" spans="1:12">
      <c r="A762" s="6"/>
      <c r="B762" s="6"/>
      <c r="C762" s="60"/>
      <c r="D762" s="23"/>
      <c r="E762" s="61"/>
      <c r="F762" s="11"/>
      <c r="G762" s="11"/>
      <c r="H762" s="11"/>
      <c r="I762" s="8"/>
      <c r="J762" s="8"/>
      <c r="K762" s="62"/>
      <c r="L762" s="1"/>
    </row>
    <row r="763" ht="15.6" spans="1:12">
      <c r="A763" s="6"/>
      <c r="B763" s="6"/>
      <c r="C763" s="60"/>
      <c r="D763" s="23"/>
      <c r="E763" s="61"/>
      <c r="F763" s="11"/>
      <c r="G763" s="11"/>
      <c r="H763" s="11"/>
      <c r="I763" s="8"/>
      <c r="J763" s="8"/>
      <c r="K763" s="62"/>
      <c r="L763" s="1"/>
    </row>
    <row r="764" ht="15.6" spans="1:12">
      <c r="A764" s="6"/>
      <c r="B764" s="6"/>
      <c r="C764" s="60"/>
      <c r="D764" s="23"/>
      <c r="E764" s="61"/>
      <c r="F764" s="11"/>
      <c r="G764" s="11"/>
      <c r="H764" s="11"/>
      <c r="I764" s="8"/>
      <c r="J764" s="8"/>
      <c r="K764" s="62"/>
      <c r="L764" s="1"/>
    </row>
    <row r="765" ht="15.6" spans="1:12">
      <c r="A765" s="6"/>
      <c r="B765" s="6"/>
      <c r="C765" s="60"/>
      <c r="D765" s="23"/>
      <c r="E765" s="61"/>
      <c r="F765" s="11"/>
      <c r="G765" s="11"/>
      <c r="H765" s="11"/>
      <c r="I765" s="8"/>
      <c r="J765" s="8"/>
      <c r="K765" s="62"/>
      <c r="L765" s="1"/>
    </row>
    <row r="766" ht="15.6" spans="1:12">
      <c r="A766" s="6"/>
      <c r="B766" s="6"/>
      <c r="C766" s="60"/>
      <c r="D766" s="23"/>
      <c r="E766" s="61"/>
      <c r="F766" s="11"/>
      <c r="G766" s="11"/>
      <c r="H766" s="11"/>
      <c r="I766" s="8"/>
      <c r="J766" s="8"/>
      <c r="K766" s="62"/>
      <c r="L766" s="1"/>
    </row>
    <row r="767" ht="15.6" spans="1:12">
      <c r="A767" s="6"/>
      <c r="B767" s="6"/>
      <c r="C767" s="60"/>
      <c r="D767" s="23"/>
      <c r="E767" s="61"/>
      <c r="F767" s="11"/>
      <c r="G767" s="11"/>
      <c r="H767" s="11"/>
      <c r="I767" s="8"/>
      <c r="J767" s="8"/>
      <c r="K767" s="62"/>
      <c r="L767" s="1"/>
    </row>
    <row r="768" ht="15.6" spans="1:12">
      <c r="A768" s="6"/>
      <c r="B768" s="6"/>
      <c r="C768" s="60"/>
      <c r="D768" s="23"/>
      <c r="E768" s="61"/>
      <c r="F768" s="11"/>
      <c r="G768" s="11"/>
      <c r="H768" s="11"/>
      <c r="I768" s="8"/>
      <c r="J768" s="8"/>
      <c r="K768" s="62"/>
      <c r="L768" s="1"/>
    </row>
    <row r="769" ht="15.6" spans="1:12">
      <c r="A769" s="6"/>
      <c r="B769" s="6"/>
      <c r="C769" s="60"/>
      <c r="D769" s="23"/>
      <c r="E769" s="61"/>
      <c r="F769" s="11"/>
      <c r="G769" s="11"/>
      <c r="H769" s="11"/>
      <c r="I769" s="8"/>
      <c r="J769" s="8"/>
      <c r="K769" s="62"/>
      <c r="L769" s="1"/>
    </row>
    <row r="770" ht="15.6" spans="1:12">
      <c r="A770" s="6"/>
      <c r="B770" s="6"/>
      <c r="C770" s="60"/>
      <c r="D770" s="23"/>
      <c r="E770" s="61"/>
      <c r="F770" s="11"/>
      <c r="G770" s="11"/>
      <c r="H770" s="11"/>
      <c r="I770" s="8"/>
      <c r="J770" s="8"/>
      <c r="K770" s="62"/>
      <c r="L770" s="1"/>
    </row>
    <row r="771" ht="15.6" spans="1:12">
      <c r="A771" s="6"/>
      <c r="B771" s="6"/>
      <c r="C771" s="60"/>
      <c r="D771" s="23"/>
      <c r="E771" s="61"/>
      <c r="F771" s="11"/>
      <c r="G771" s="11"/>
      <c r="H771" s="11"/>
      <c r="I771" s="8"/>
      <c r="J771" s="8"/>
      <c r="K771" s="62"/>
      <c r="L771" s="1"/>
    </row>
    <row r="772" ht="15.6" spans="1:12">
      <c r="A772" s="6"/>
      <c r="B772" s="6"/>
      <c r="C772" s="60"/>
      <c r="D772" s="23"/>
      <c r="E772" s="61"/>
      <c r="F772" s="11"/>
      <c r="G772" s="11"/>
      <c r="H772" s="11"/>
      <c r="I772" s="8"/>
      <c r="J772" s="8"/>
      <c r="K772" s="62"/>
      <c r="L772" s="1"/>
    </row>
    <row r="773" ht="15.6" spans="1:12">
      <c r="A773" s="6"/>
      <c r="B773" s="6"/>
      <c r="C773" s="60"/>
      <c r="D773" s="23"/>
      <c r="E773" s="61"/>
      <c r="F773" s="11"/>
      <c r="G773" s="11"/>
      <c r="H773" s="11"/>
      <c r="I773" s="8"/>
      <c r="J773" s="8"/>
      <c r="K773" s="62"/>
      <c r="L773" s="1"/>
    </row>
    <row r="774" ht="15.6" spans="1:12">
      <c r="A774" s="6"/>
      <c r="B774" s="6"/>
      <c r="C774" s="60"/>
      <c r="D774" s="23"/>
      <c r="E774" s="61"/>
      <c r="F774" s="11"/>
      <c r="G774" s="11"/>
      <c r="H774" s="11"/>
      <c r="I774" s="8"/>
      <c r="J774" s="8"/>
      <c r="K774" s="62"/>
      <c r="L774" s="1"/>
    </row>
    <row r="775" ht="15.6" spans="1:12">
      <c r="A775" s="6"/>
      <c r="B775" s="6"/>
      <c r="C775" s="60"/>
      <c r="D775" s="23"/>
      <c r="E775" s="61"/>
      <c r="F775" s="11"/>
      <c r="G775" s="11"/>
      <c r="H775" s="11"/>
      <c r="I775" s="8"/>
      <c r="J775" s="8"/>
      <c r="K775" s="62"/>
      <c r="L775" s="1"/>
    </row>
    <row r="776" ht="15.6" spans="1:12">
      <c r="A776" s="6"/>
      <c r="B776" s="6"/>
      <c r="C776" s="60"/>
      <c r="D776" s="23"/>
      <c r="E776" s="61"/>
      <c r="F776" s="11"/>
      <c r="G776" s="11"/>
      <c r="H776" s="11"/>
      <c r="I776" s="8"/>
      <c r="J776" s="8"/>
      <c r="K776" s="62"/>
      <c r="L776" s="1"/>
    </row>
    <row r="777" ht="15.6" spans="1:12">
      <c r="A777" s="6"/>
      <c r="B777" s="6"/>
      <c r="C777" s="60"/>
      <c r="D777" s="23"/>
      <c r="E777" s="61"/>
      <c r="F777" s="11"/>
      <c r="G777" s="11"/>
      <c r="H777" s="11"/>
      <c r="I777" s="8"/>
      <c r="J777" s="8"/>
      <c r="K777" s="62"/>
      <c r="L777" s="1"/>
    </row>
    <row r="778" ht="15.6" spans="1:12">
      <c r="A778" s="6"/>
      <c r="B778" s="6"/>
      <c r="C778" s="60"/>
      <c r="D778" s="23"/>
      <c r="E778" s="61"/>
      <c r="F778" s="11"/>
      <c r="G778" s="11"/>
      <c r="H778" s="11"/>
      <c r="I778" s="8"/>
      <c r="J778" s="8"/>
      <c r="K778" s="62"/>
      <c r="L778" s="1"/>
    </row>
    <row r="779" ht="15.6" spans="1:12">
      <c r="A779" s="6"/>
      <c r="B779" s="6"/>
      <c r="C779" s="60"/>
      <c r="D779" s="23"/>
      <c r="E779" s="61"/>
      <c r="F779" s="11"/>
      <c r="G779" s="11"/>
      <c r="H779" s="11"/>
      <c r="I779" s="8"/>
      <c r="J779" s="8"/>
      <c r="K779" s="62"/>
      <c r="L779" s="1"/>
    </row>
    <row r="780" ht="15.6" spans="1:12">
      <c r="A780" s="6"/>
      <c r="B780" s="6"/>
      <c r="C780" s="60"/>
      <c r="D780" s="23"/>
      <c r="E780" s="61"/>
      <c r="F780" s="11"/>
      <c r="G780" s="11"/>
      <c r="H780" s="11"/>
      <c r="I780" s="8"/>
      <c r="J780" s="8"/>
      <c r="K780" s="62"/>
      <c r="L780" s="1"/>
    </row>
    <row r="781" ht="15.6" spans="1:12">
      <c r="A781" s="6"/>
      <c r="B781" s="6"/>
      <c r="C781" s="60"/>
      <c r="D781" s="23"/>
      <c r="E781" s="61"/>
      <c r="F781" s="11"/>
      <c r="G781" s="11"/>
      <c r="H781" s="11"/>
      <c r="I781" s="8"/>
      <c r="J781" s="8"/>
      <c r="K781" s="62"/>
      <c r="L781" s="1"/>
    </row>
    <row r="782" ht="15.6" spans="1:12">
      <c r="A782" s="6"/>
      <c r="B782" s="6"/>
      <c r="C782" s="60"/>
      <c r="D782" s="23"/>
      <c r="E782" s="61"/>
      <c r="F782" s="11"/>
      <c r="G782" s="11"/>
      <c r="H782" s="11"/>
      <c r="I782" s="8"/>
      <c r="J782" s="8"/>
      <c r="K782" s="62"/>
      <c r="L782" s="1"/>
    </row>
    <row r="783" ht="15.6" spans="1:12">
      <c r="A783" s="6"/>
      <c r="B783" s="6"/>
      <c r="C783" s="60"/>
      <c r="D783" s="23"/>
      <c r="E783" s="61"/>
      <c r="F783" s="11"/>
      <c r="G783" s="11"/>
      <c r="H783" s="11"/>
      <c r="I783" s="8"/>
      <c r="J783" s="8"/>
      <c r="K783" s="62"/>
      <c r="L783" s="1"/>
    </row>
    <row r="784" ht="15.6" spans="1:12">
      <c r="A784" s="6"/>
      <c r="B784" s="6"/>
      <c r="C784" s="60"/>
      <c r="D784" s="23"/>
      <c r="E784" s="61"/>
      <c r="F784" s="11"/>
      <c r="G784" s="11"/>
      <c r="H784" s="11"/>
      <c r="I784" s="8"/>
      <c r="J784" s="8"/>
      <c r="K784" s="62"/>
      <c r="L784" s="1"/>
    </row>
    <row r="785" ht="15.6" spans="1:12">
      <c r="A785" s="6"/>
      <c r="B785" s="6"/>
      <c r="C785" s="60"/>
      <c r="D785" s="23"/>
      <c r="E785" s="61"/>
      <c r="F785" s="11"/>
      <c r="G785" s="11"/>
      <c r="H785" s="11"/>
      <c r="I785" s="8"/>
      <c r="J785" s="8"/>
      <c r="K785" s="62"/>
      <c r="L785" s="1"/>
    </row>
    <row r="786" ht="15.6" spans="1:12">
      <c r="A786" s="6"/>
      <c r="B786" s="6"/>
      <c r="C786" s="60"/>
      <c r="D786" s="23"/>
      <c r="E786" s="61"/>
      <c r="F786" s="11"/>
      <c r="G786" s="11"/>
      <c r="H786" s="11"/>
      <c r="I786" s="8"/>
      <c r="J786" s="8"/>
      <c r="K786" s="62"/>
      <c r="L786" s="1"/>
    </row>
    <row r="787" ht="15.6" spans="1:12">
      <c r="A787" s="6"/>
      <c r="B787" s="6"/>
      <c r="C787" s="60"/>
      <c r="D787" s="23"/>
      <c r="E787" s="61"/>
      <c r="F787" s="11"/>
      <c r="G787" s="11"/>
      <c r="H787" s="11"/>
      <c r="I787" s="8"/>
      <c r="J787" s="8"/>
      <c r="K787" s="62"/>
      <c r="L787" s="1"/>
    </row>
    <row r="788" ht="15.6" spans="1:12">
      <c r="A788" s="6"/>
      <c r="B788" s="6"/>
      <c r="C788" s="60"/>
      <c r="D788" s="23"/>
      <c r="E788" s="61"/>
      <c r="F788" s="11"/>
      <c r="G788" s="11"/>
      <c r="H788" s="11"/>
      <c r="I788" s="8"/>
      <c r="J788" s="8"/>
      <c r="K788" s="62"/>
      <c r="L788" s="1"/>
    </row>
    <row r="789" ht="15.6" spans="1:12">
      <c r="A789" s="6"/>
      <c r="B789" s="6"/>
      <c r="C789" s="60"/>
      <c r="D789" s="23"/>
      <c r="E789" s="61"/>
      <c r="F789" s="11"/>
      <c r="G789" s="11"/>
      <c r="H789" s="11"/>
      <c r="I789" s="8"/>
      <c r="J789" s="8"/>
      <c r="K789" s="62"/>
      <c r="L789" s="1"/>
    </row>
    <row r="790" ht="15.6" spans="1:12">
      <c r="A790" s="6"/>
      <c r="B790" s="6"/>
      <c r="C790" s="60"/>
      <c r="D790" s="23"/>
      <c r="E790" s="61"/>
      <c r="F790" s="11"/>
      <c r="G790" s="11"/>
      <c r="H790" s="11"/>
      <c r="I790" s="8"/>
      <c r="J790" s="8"/>
      <c r="K790" s="62"/>
      <c r="L790" s="1"/>
    </row>
    <row r="791" ht="15.6" spans="1:12">
      <c r="A791" s="6"/>
      <c r="B791" s="6"/>
      <c r="C791" s="60"/>
      <c r="D791" s="23"/>
      <c r="E791" s="61"/>
      <c r="F791" s="11"/>
      <c r="G791" s="11"/>
      <c r="H791" s="11"/>
      <c r="I791" s="8"/>
      <c r="J791" s="8"/>
      <c r="K791" s="62"/>
      <c r="L791" s="1"/>
    </row>
    <row r="792" ht="15.6" spans="1:12">
      <c r="A792" s="6"/>
      <c r="B792" s="6"/>
      <c r="C792" s="60"/>
      <c r="D792" s="23"/>
      <c r="E792" s="61"/>
      <c r="F792" s="11"/>
      <c r="G792" s="11"/>
      <c r="H792" s="11"/>
      <c r="I792" s="8"/>
      <c r="J792" s="8"/>
      <c r="K792" s="62"/>
      <c r="L792" s="1"/>
    </row>
    <row r="793" ht="15.6" spans="1:12">
      <c r="A793" s="6"/>
      <c r="B793" s="6"/>
      <c r="C793" s="60"/>
      <c r="D793" s="23"/>
      <c r="E793" s="61"/>
      <c r="F793" s="11"/>
      <c r="G793" s="11"/>
      <c r="H793" s="11"/>
      <c r="I793" s="8"/>
      <c r="J793" s="8"/>
      <c r="K793" s="62"/>
      <c r="L793" s="1"/>
    </row>
    <row r="794" ht="15.6" spans="1:12">
      <c r="A794" s="6"/>
      <c r="B794" s="6"/>
      <c r="C794" s="60"/>
      <c r="D794" s="23"/>
      <c r="E794" s="61"/>
      <c r="F794" s="11"/>
      <c r="G794" s="11"/>
      <c r="H794" s="11"/>
      <c r="I794" s="8"/>
      <c r="J794" s="8"/>
      <c r="K794" s="62"/>
      <c r="L794" s="1"/>
    </row>
    <row r="795" ht="15.6" spans="1:12">
      <c r="A795" s="6"/>
      <c r="B795" s="6"/>
      <c r="C795" s="60"/>
      <c r="D795" s="23"/>
      <c r="E795" s="61"/>
      <c r="F795" s="11"/>
      <c r="G795" s="11"/>
      <c r="H795" s="11"/>
      <c r="I795" s="8"/>
      <c r="J795" s="8"/>
      <c r="K795" s="62"/>
      <c r="L795" s="1"/>
    </row>
    <row r="796" ht="15.6" spans="1:12">
      <c r="A796" s="6"/>
      <c r="B796" s="6"/>
      <c r="C796" s="60"/>
      <c r="D796" s="23"/>
      <c r="E796" s="61"/>
      <c r="F796" s="11"/>
      <c r="G796" s="11"/>
      <c r="H796" s="11"/>
      <c r="I796" s="8"/>
      <c r="J796" s="8"/>
      <c r="K796" s="62"/>
      <c r="L796" s="1"/>
    </row>
    <row r="797" ht="15.6" spans="1:12">
      <c r="A797" s="6"/>
      <c r="B797" s="6"/>
      <c r="C797" s="60"/>
      <c r="D797" s="23"/>
      <c r="E797" s="61"/>
      <c r="F797" s="11"/>
      <c r="G797" s="11"/>
      <c r="H797" s="11"/>
      <c r="I797" s="8"/>
      <c r="J797" s="8"/>
      <c r="K797" s="62"/>
      <c r="L797" s="1"/>
    </row>
    <row r="798" ht="15.6" spans="1:12">
      <c r="A798" s="6"/>
      <c r="B798" s="6"/>
      <c r="C798" s="60"/>
      <c r="D798" s="23"/>
      <c r="E798" s="61"/>
      <c r="F798" s="11"/>
      <c r="G798" s="11"/>
      <c r="H798" s="11"/>
      <c r="I798" s="8"/>
      <c r="J798" s="8"/>
      <c r="K798" s="62"/>
      <c r="L798" s="1"/>
    </row>
    <row r="799" ht="15.6" spans="1:12">
      <c r="A799" s="6"/>
      <c r="B799" s="6"/>
      <c r="C799" s="60"/>
      <c r="D799" s="23"/>
      <c r="E799" s="61"/>
      <c r="F799" s="11"/>
      <c r="G799" s="11"/>
      <c r="H799" s="11"/>
      <c r="I799" s="8"/>
      <c r="J799" s="8"/>
      <c r="K799" s="62"/>
      <c r="L799" s="1"/>
    </row>
    <row r="800" ht="15.6" spans="1:12">
      <c r="A800" s="6"/>
      <c r="B800" s="6"/>
      <c r="C800" s="60"/>
      <c r="D800" s="23"/>
      <c r="E800" s="61"/>
      <c r="F800" s="11"/>
      <c r="G800" s="11"/>
      <c r="H800" s="11"/>
      <c r="I800" s="8"/>
      <c r="J800" s="8"/>
      <c r="K800" s="62"/>
      <c r="L800" s="1"/>
    </row>
    <row r="801" ht="15.6" spans="1:12">
      <c r="A801" s="6"/>
      <c r="B801" s="6"/>
      <c r="C801" s="60"/>
      <c r="D801" s="23"/>
      <c r="E801" s="61"/>
      <c r="F801" s="11"/>
      <c r="G801" s="11"/>
      <c r="H801" s="11"/>
      <c r="I801" s="8"/>
      <c r="J801" s="8"/>
      <c r="K801" s="62"/>
      <c r="L801" s="1"/>
    </row>
    <row r="802" ht="15.6" spans="1:12">
      <c r="A802" s="6"/>
      <c r="B802" s="6"/>
      <c r="C802" s="60"/>
      <c r="D802" s="23"/>
      <c r="E802" s="61"/>
      <c r="F802" s="11"/>
      <c r="G802" s="11"/>
      <c r="H802" s="11"/>
      <c r="I802" s="8"/>
      <c r="J802" s="8"/>
      <c r="K802" s="62"/>
      <c r="L802" s="1"/>
    </row>
    <row r="803" ht="15.6" spans="1:12">
      <c r="A803" s="6"/>
      <c r="B803" s="6"/>
      <c r="C803" s="60"/>
      <c r="D803" s="23"/>
      <c r="E803" s="61"/>
      <c r="F803" s="11"/>
      <c r="G803" s="11"/>
      <c r="H803" s="11"/>
      <c r="I803" s="8"/>
      <c r="J803" s="8"/>
      <c r="K803" s="62"/>
      <c r="L803" s="1"/>
    </row>
    <row r="804" ht="15.6" spans="1:12">
      <c r="A804" s="6"/>
      <c r="B804" s="6"/>
      <c r="C804" s="60"/>
      <c r="D804" s="23"/>
      <c r="E804" s="61"/>
      <c r="F804" s="11"/>
      <c r="G804" s="11"/>
      <c r="H804" s="11"/>
      <c r="I804" s="8"/>
      <c r="J804" s="8"/>
      <c r="K804" s="62"/>
      <c r="L804" s="1"/>
    </row>
    <row r="805" ht="15.6" spans="1:12">
      <c r="A805" s="6"/>
      <c r="B805" s="6"/>
      <c r="C805" s="60"/>
      <c r="D805" s="23"/>
      <c r="E805" s="61"/>
      <c r="F805" s="11"/>
      <c r="G805" s="11"/>
      <c r="H805" s="11"/>
      <c r="I805" s="8"/>
      <c r="J805" s="8"/>
      <c r="K805" s="62"/>
      <c r="L805" s="1"/>
    </row>
    <row r="806" ht="15.6" spans="1:12">
      <c r="A806" s="6"/>
      <c r="B806" s="6"/>
      <c r="C806" s="60"/>
      <c r="D806" s="23"/>
      <c r="E806" s="61"/>
      <c r="F806" s="11"/>
      <c r="G806" s="11"/>
      <c r="H806" s="11"/>
      <c r="I806" s="8"/>
      <c r="J806" s="8"/>
      <c r="K806" s="62"/>
      <c r="L806" s="1"/>
    </row>
    <row r="807" ht="15.6" spans="1:12">
      <c r="A807" s="6"/>
      <c r="B807" s="6"/>
      <c r="C807" s="60"/>
      <c r="D807" s="23"/>
      <c r="E807" s="61"/>
      <c r="F807" s="11"/>
      <c r="G807" s="11"/>
      <c r="H807" s="11"/>
      <c r="I807" s="8"/>
      <c r="J807" s="8"/>
      <c r="K807" s="62"/>
      <c r="L807" s="1"/>
    </row>
    <row r="808" ht="15.6" spans="1:12">
      <c r="A808" s="6"/>
      <c r="B808" s="6"/>
      <c r="C808" s="60"/>
      <c r="D808" s="23"/>
      <c r="E808" s="61"/>
      <c r="F808" s="11"/>
      <c r="G808" s="11"/>
      <c r="H808" s="11"/>
      <c r="I808" s="8"/>
      <c r="J808" s="8"/>
      <c r="K808" s="62"/>
      <c r="L808" s="1"/>
    </row>
    <row r="809" ht="15.6" spans="1:12">
      <c r="A809" s="6"/>
      <c r="B809" s="6"/>
      <c r="C809" s="60"/>
      <c r="D809" s="23"/>
      <c r="E809" s="61"/>
      <c r="F809" s="11"/>
      <c r="G809" s="11"/>
      <c r="H809" s="11"/>
      <c r="I809" s="8"/>
      <c r="J809" s="8"/>
      <c r="K809" s="62"/>
      <c r="L809" s="1"/>
    </row>
    <row r="810" ht="15.6" spans="1:12">
      <c r="A810" s="6"/>
      <c r="B810" s="6"/>
      <c r="C810" s="60"/>
      <c r="D810" s="23"/>
      <c r="E810" s="61"/>
      <c r="F810" s="11"/>
      <c r="G810" s="11"/>
      <c r="H810" s="11"/>
      <c r="I810" s="8"/>
      <c r="J810" s="8"/>
      <c r="K810" s="62"/>
      <c r="L810" s="1"/>
    </row>
    <row r="811" ht="15.6" spans="1:12">
      <c r="A811" s="6"/>
      <c r="B811" s="6"/>
      <c r="C811" s="60"/>
      <c r="D811" s="23"/>
      <c r="E811" s="61"/>
      <c r="F811" s="11"/>
      <c r="G811" s="11"/>
      <c r="H811" s="11"/>
      <c r="I811" s="8"/>
      <c r="J811" s="8"/>
      <c r="K811" s="62"/>
      <c r="L811" s="1"/>
    </row>
    <row r="812" ht="15.6" spans="1:12">
      <c r="A812" s="6"/>
      <c r="B812" s="6"/>
      <c r="C812" s="60"/>
      <c r="D812" s="23"/>
      <c r="E812" s="61"/>
      <c r="F812" s="11"/>
      <c r="G812" s="11"/>
      <c r="H812" s="11"/>
      <c r="I812" s="8"/>
      <c r="J812" s="8"/>
      <c r="K812" s="62"/>
      <c r="L812" s="1"/>
    </row>
    <row r="813" ht="15.6" spans="1:12">
      <c r="A813" s="6"/>
      <c r="B813" s="6"/>
      <c r="C813" s="60"/>
      <c r="D813" s="23"/>
      <c r="E813" s="61"/>
      <c r="F813" s="11"/>
      <c r="G813" s="11"/>
      <c r="H813" s="11"/>
      <c r="I813" s="8"/>
      <c r="J813" s="8"/>
      <c r="K813" s="62"/>
      <c r="L813" s="1"/>
    </row>
    <row r="814" ht="15.6" spans="1:12">
      <c r="A814" s="6"/>
      <c r="B814" s="6"/>
      <c r="C814" s="60"/>
      <c r="D814" s="23"/>
      <c r="E814" s="61"/>
      <c r="F814" s="11"/>
      <c r="G814" s="11"/>
      <c r="H814" s="11"/>
      <c r="I814" s="8"/>
      <c r="J814" s="8"/>
      <c r="K814" s="62"/>
      <c r="L814" s="1"/>
    </row>
    <row r="815" ht="15.6" spans="1:12">
      <c r="A815" s="6"/>
      <c r="B815" s="6"/>
      <c r="C815" s="60"/>
      <c r="D815" s="23"/>
      <c r="E815" s="61"/>
      <c r="F815" s="11"/>
      <c r="G815" s="11"/>
      <c r="H815" s="11"/>
      <c r="I815" s="8"/>
      <c r="J815" s="8"/>
      <c r="K815" s="62"/>
      <c r="L815" s="1"/>
    </row>
    <row r="816" ht="15.6" spans="1:12">
      <c r="A816" s="6"/>
      <c r="B816" s="6"/>
      <c r="C816" s="60"/>
      <c r="D816" s="23"/>
      <c r="E816" s="61"/>
      <c r="F816" s="11"/>
      <c r="G816" s="11"/>
      <c r="H816" s="11"/>
      <c r="I816" s="8"/>
      <c r="J816" s="8"/>
      <c r="K816" s="62"/>
      <c r="L816" s="1"/>
    </row>
    <row r="817" ht="15.6" spans="1:12">
      <c r="A817" s="6"/>
      <c r="B817" s="6"/>
      <c r="C817" s="60"/>
      <c r="D817" s="23"/>
      <c r="E817" s="61"/>
      <c r="F817" s="11"/>
      <c r="G817" s="11"/>
      <c r="H817" s="11"/>
      <c r="I817" s="8"/>
      <c r="J817" s="8"/>
      <c r="K817" s="62"/>
      <c r="L817" s="1"/>
    </row>
    <row r="818" ht="15.6" spans="1:12">
      <c r="A818" s="6"/>
      <c r="B818" s="6"/>
      <c r="C818" s="60"/>
      <c r="D818" s="23"/>
      <c r="E818" s="61"/>
      <c r="F818" s="11"/>
      <c r="G818" s="11"/>
      <c r="H818" s="11"/>
      <c r="I818" s="8"/>
      <c r="J818" s="8"/>
      <c r="K818" s="62"/>
      <c r="L818" s="1"/>
    </row>
    <row r="819" ht="15.6" spans="1:12">
      <c r="A819" s="6"/>
      <c r="B819" s="6"/>
      <c r="C819" s="60"/>
      <c r="D819" s="23"/>
      <c r="E819" s="61"/>
      <c r="F819" s="11"/>
      <c r="G819" s="11"/>
      <c r="H819" s="11"/>
      <c r="I819" s="8"/>
      <c r="J819" s="8"/>
      <c r="K819" s="62"/>
      <c r="L819" s="1"/>
    </row>
    <row r="820" ht="15.6" spans="1:12">
      <c r="A820" s="6"/>
      <c r="B820" s="6"/>
      <c r="C820" s="60"/>
      <c r="D820" s="23"/>
      <c r="E820" s="61"/>
      <c r="F820" s="11"/>
      <c r="G820" s="11"/>
      <c r="H820" s="11"/>
      <c r="I820" s="8"/>
      <c r="J820" s="8"/>
      <c r="K820" s="62"/>
      <c r="L820" s="1"/>
    </row>
    <row r="821" ht="15.6" spans="1:12">
      <c r="A821" s="6"/>
      <c r="B821" s="6"/>
      <c r="C821" s="60"/>
      <c r="D821" s="23"/>
      <c r="E821" s="61"/>
      <c r="F821" s="11"/>
      <c r="G821" s="11"/>
      <c r="H821" s="11"/>
      <c r="I821" s="8"/>
      <c r="J821" s="8"/>
      <c r="K821" s="62"/>
      <c r="L821" s="1"/>
    </row>
    <row r="822" ht="15.6" spans="1:12">
      <c r="A822" s="6"/>
      <c r="B822" s="6"/>
      <c r="C822" s="60"/>
      <c r="D822" s="23"/>
      <c r="E822" s="61"/>
      <c r="F822" s="11"/>
      <c r="G822" s="11"/>
      <c r="H822" s="11"/>
      <c r="I822" s="8"/>
      <c r="J822" s="8"/>
      <c r="K822" s="62"/>
      <c r="L822" s="1"/>
    </row>
    <row r="823" ht="15.6" spans="1:12">
      <c r="A823" s="6"/>
      <c r="B823" s="6"/>
      <c r="C823" s="60"/>
      <c r="D823" s="23"/>
      <c r="E823" s="61"/>
      <c r="F823" s="11"/>
      <c r="G823" s="11"/>
      <c r="H823" s="11"/>
      <c r="I823" s="8"/>
      <c r="J823" s="8"/>
      <c r="K823" s="62"/>
      <c r="L823" s="1"/>
    </row>
    <row r="824" ht="15.6" spans="1:12">
      <c r="A824" s="6"/>
      <c r="B824" s="6"/>
      <c r="C824" s="60"/>
      <c r="D824" s="23"/>
      <c r="E824" s="61"/>
      <c r="F824" s="11"/>
      <c r="G824" s="11"/>
      <c r="H824" s="11"/>
      <c r="I824" s="8"/>
      <c r="J824" s="8"/>
      <c r="K824" s="62"/>
      <c r="L824" s="1"/>
    </row>
    <row r="825" ht="15.6" spans="1:12">
      <c r="A825" s="6"/>
      <c r="B825" s="6"/>
      <c r="C825" s="60"/>
      <c r="D825" s="23"/>
      <c r="E825" s="61"/>
      <c r="F825" s="11"/>
      <c r="G825" s="11"/>
      <c r="H825" s="11"/>
      <c r="I825" s="8"/>
      <c r="J825" s="8"/>
      <c r="K825" s="62"/>
      <c r="L825" s="1"/>
    </row>
    <row r="826" ht="15.6" spans="1:12">
      <c r="A826" s="6"/>
      <c r="B826" s="6"/>
      <c r="C826" s="60"/>
      <c r="D826" s="23"/>
      <c r="E826" s="61"/>
      <c r="F826" s="11"/>
      <c r="G826" s="11"/>
      <c r="H826" s="11"/>
      <c r="I826" s="8"/>
      <c r="J826" s="8"/>
      <c r="K826" s="62"/>
      <c r="L826" s="1"/>
    </row>
    <row r="827" ht="15.6" spans="1:12">
      <c r="A827" s="6"/>
      <c r="B827" s="6"/>
      <c r="C827" s="60"/>
      <c r="D827" s="23"/>
      <c r="E827" s="61"/>
      <c r="F827" s="11"/>
      <c r="G827" s="11"/>
      <c r="H827" s="11"/>
      <c r="I827" s="8"/>
      <c r="J827" s="8"/>
      <c r="K827" s="62"/>
      <c r="L827" s="1"/>
    </row>
    <row r="828" ht="15.6" spans="1:12">
      <c r="A828" s="6"/>
      <c r="B828" s="6"/>
      <c r="C828" s="60"/>
      <c r="D828" s="23"/>
      <c r="E828" s="61"/>
      <c r="F828" s="11"/>
      <c r="G828" s="11"/>
      <c r="H828" s="11"/>
      <c r="I828" s="8"/>
      <c r="J828" s="8"/>
      <c r="K828" s="62"/>
      <c r="L828" s="1"/>
    </row>
    <row r="829" ht="15.6" spans="1:12">
      <c r="A829" s="6"/>
      <c r="B829" s="6"/>
      <c r="C829" s="60"/>
      <c r="D829" s="23"/>
      <c r="E829" s="61"/>
      <c r="F829" s="11"/>
      <c r="G829" s="11"/>
      <c r="H829" s="11"/>
      <c r="I829" s="8"/>
      <c r="J829" s="8"/>
      <c r="K829" s="62"/>
      <c r="L829" s="1"/>
    </row>
    <row r="830" ht="15.6" spans="1:12">
      <c r="A830" s="6"/>
      <c r="B830" s="6"/>
      <c r="C830" s="60"/>
      <c r="D830" s="23"/>
      <c r="E830" s="61"/>
      <c r="F830" s="11"/>
      <c r="G830" s="11"/>
      <c r="H830" s="11"/>
      <c r="I830" s="8"/>
      <c r="J830" s="8"/>
      <c r="K830" s="62"/>
      <c r="L830" s="1"/>
    </row>
    <row r="831" ht="15.6" spans="1:12">
      <c r="A831" s="6"/>
      <c r="B831" s="6"/>
      <c r="C831" s="60"/>
      <c r="D831" s="23"/>
      <c r="E831" s="61"/>
      <c r="F831" s="11"/>
      <c r="G831" s="11"/>
      <c r="H831" s="11"/>
      <c r="I831" s="8"/>
      <c r="J831" s="8"/>
      <c r="K831" s="62"/>
      <c r="L831" s="1"/>
    </row>
    <row r="832" ht="15.6" spans="1:12">
      <c r="A832" s="6"/>
      <c r="B832" s="6"/>
      <c r="C832" s="60"/>
      <c r="D832" s="23"/>
      <c r="E832" s="61"/>
      <c r="F832" s="11"/>
      <c r="G832" s="11"/>
      <c r="H832" s="11"/>
      <c r="I832" s="8"/>
      <c r="J832" s="8"/>
      <c r="K832" s="62"/>
      <c r="L832" s="1"/>
    </row>
    <row r="833" ht="15.6" spans="1:12">
      <c r="A833" s="6"/>
      <c r="B833" s="6"/>
      <c r="C833" s="60"/>
      <c r="D833" s="23"/>
      <c r="E833" s="61"/>
      <c r="F833" s="11"/>
      <c r="G833" s="11"/>
      <c r="H833" s="11"/>
      <c r="I833" s="8"/>
      <c r="J833" s="8"/>
      <c r="K833" s="62"/>
      <c r="L833" s="1"/>
    </row>
    <row r="834" ht="15.6" spans="1:12">
      <c r="A834" s="6"/>
      <c r="B834" s="6"/>
      <c r="C834" s="60"/>
      <c r="D834" s="23"/>
      <c r="E834" s="61"/>
      <c r="F834" s="11"/>
      <c r="G834" s="11"/>
      <c r="H834" s="11"/>
      <c r="I834" s="8"/>
      <c r="J834" s="8"/>
      <c r="K834" s="62"/>
      <c r="L834" s="1"/>
    </row>
    <row r="835" ht="15.6" spans="1:12">
      <c r="A835" s="6"/>
      <c r="B835" s="6"/>
      <c r="C835" s="60"/>
      <c r="D835" s="23"/>
      <c r="E835" s="61"/>
      <c r="F835" s="11"/>
      <c r="G835" s="11"/>
      <c r="H835" s="11"/>
      <c r="I835" s="8"/>
      <c r="J835" s="8"/>
      <c r="K835" s="62"/>
      <c r="L835" s="1"/>
    </row>
    <row r="836" ht="15.6" spans="1:12">
      <c r="A836" s="6"/>
      <c r="B836" s="6"/>
      <c r="C836" s="60"/>
      <c r="D836" s="23"/>
      <c r="E836" s="61"/>
      <c r="F836" s="11"/>
      <c r="G836" s="11"/>
      <c r="H836" s="11"/>
      <c r="I836" s="8"/>
      <c r="J836" s="8"/>
      <c r="K836" s="62"/>
      <c r="L836" s="1"/>
    </row>
    <row r="837" ht="15.6" spans="1:12">
      <c r="A837" s="6"/>
      <c r="B837" s="6"/>
      <c r="C837" s="60"/>
      <c r="D837" s="23"/>
      <c r="E837" s="61"/>
      <c r="F837" s="11"/>
      <c r="G837" s="11"/>
      <c r="H837" s="11"/>
      <c r="I837" s="8"/>
      <c r="J837" s="8"/>
      <c r="K837" s="62"/>
      <c r="L837" s="1"/>
    </row>
    <row r="838" ht="15.6" spans="1:12">
      <c r="A838" s="6"/>
      <c r="B838" s="6"/>
      <c r="C838" s="60"/>
      <c r="D838" s="23"/>
      <c r="E838" s="61"/>
      <c r="F838" s="11"/>
      <c r="G838" s="11"/>
      <c r="H838" s="11"/>
      <c r="I838" s="8"/>
      <c r="J838" s="8"/>
      <c r="K838" s="62"/>
      <c r="L838" s="1"/>
    </row>
    <row r="839" ht="15.6" spans="1:12">
      <c r="A839" s="6"/>
      <c r="B839" s="6"/>
      <c r="C839" s="60"/>
      <c r="D839" s="23"/>
      <c r="E839" s="61"/>
      <c r="F839" s="11"/>
      <c r="G839" s="11"/>
      <c r="H839" s="11"/>
      <c r="I839" s="8"/>
      <c r="J839" s="8"/>
      <c r="K839" s="62"/>
      <c r="L839" s="1"/>
    </row>
    <row r="840" ht="15.6" spans="1:12">
      <c r="A840" s="6"/>
      <c r="B840" s="6"/>
      <c r="C840" s="60"/>
      <c r="D840" s="23"/>
      <c r="E840" s="61"/>
      <c r="F840" s="11"/>
      <c r="G840" s="11"/>
      <c r="H840" s="11"/>
      <c r="I840" s="8"/>
      <c r="J840" s="8"/>
      <c r="K840" s="62"/>
      <c r="L840" s="1"/>
    </row>
    <row r="841" ht="15.6" spans="1:12">
      <c r="A841" s="6"/>
      <c r="B841" s="6"/>
      <c r="C841" s="60"/>
      <c r="D841" s="23"/>
      <c r="E841" s="61"/>
      <c r="F841" s="11"/>
      <c r="G841" s="11"/>
      <c r="H841" s="11"/>
      <c r="I841" s="8"/>
      <c r="J841" s="8"/>
      <c r="K841" s="62"/>
      <c r="L841" s="1"/>
    </row>
    <row r="842" ht="15.6" spans="1:12">
      <c r="A842" s="6"/>
      <c r="B842" s="6"/>
      <c r="C842" s="60"/>
      <c r="D842" s="23"/>
      <c r="E842" s="61"/>
      <c r="F842" s="11"/>
      <c r="G842" s="11"/>
      <c r="H842" s="11"/>
      <c r="I842" s="8"/>
      <c r="J842" s="8"/>
      <c r="K842" s="62"/>
      <c r="L842" s="1"/>
    </row>
    <row r="843" ht="15.6" spans="1:12">
      <c r="A843" s="6"/>
      <c r="B843" s="6"/>
      <c r="C843" s="60"/>
      <c r="D843" s="23"/>
      <c r="E843" s="61"/>
      <c r="F843" s="11"/>
      <c r="G843" s="11"/>
      <c r="H843" s="11"/>
      <c r="I843" s="8"/>
      <c r="J843" s="8"/>
      <c r="K843" s="62"/>
      <c r="L843" s="1"/>
    </row>
    <row r="844" ht="15.6" spans="1:12">
      <c r="A844" s="6"/>
      <c r="B844" s="6"/>
      <c r="C844" s="60"/>
      <c r="D844" s="23"/>
      <c r="E844" s="61"/>
      <c r="F844" s="11"/>
      <c r="G844" s="11"/>
      <c r="H844" s="11"/>
      <c r="I844" s="8"/>
      <c r="J844" s="8"/>
      <c r="K844" s="62"/>
      <c r="L844" s="1"/>
    </row>
    <row r="845" ht="15.6" spans="1:12">
      <c r="A845" s="6"/>
      <c r="B845" s="6"/>
      <c r="C845" s="60"/>
      <c r="D845" s="23"/>
      <c r="E845" s="61"/>
      <c r="F845" s="11"/>
      <c r="G845" s="11"/>
      <c r="H845" s="11"/>
      <c r="I845" s="8"/>
      <c r="J845" s="8"/>
      <c r="K845" s="62"/>
      <c r="L845" s="1"/>
    </row>
    <row r="846" ht="15.6" spans="1:12">
      <c r="A846" s="6"/>
      <c r="B846" s="6"/>
      <c r="C846" s="60"/>
      <c r="D846" s="23"/>
      <c r="E846" s="61"/>
      <c r="F846" s="11"/>
      <c r="G846" s="11"/>
      <c r="H846" s="11"/>
      <c r="I846" s="8"/>
      <c r="J846" s="8"/>
      <c r="K846" s="62"/>
      <c r="L846" s="1"/>
    </row>
    <row r="847" ht="15.6" spans="1:12">
      <c r="A847" s="6"/>
      <c r="B847" s="6"/>
      <c r="C847" s="60"/>
      <c r="D847" s="23"/>
      <c r="E847" s="61"/>
      <c r="F847" s="11"/>
      <c r="G847" s="11"/>
      <c r="H847" s="11"/>
      <c r="I847" s="8"/>
      <c r="J847" s="8"/>
      <c r="K847" s="62"/>
      <c r="L847" s="1"/>
    </row>
    <row r="848" ht="15.6" spans="1:12">
      <c r="A848" s="6"/>
      <c r="B848" s="6"/>
      <c r="C848" s="60"/>
      <c r="D848" s="23"/>
      <c r="E848" s="61"/>
      <c r="F848" s="11"/>
      <c r="G848" s="11"/>
      <c r="H848" s="11"/>
      <c r="I848" s="8"/>
      <c r="J848" s="8"/>
      <c r="K848" s="62"/>
      <c r="L848" s="1"/>
    </row>
    <row r="849" ht="15.6" spans="1:12">
      <c r="A849" s="6"/>
      <c r="B849" s="6"/>
      <c r="C849" s="60"/>
      <c r="D849" s="23"/>
      <c r="E849" s="61"/>
      <c r="F849" s="11"/>
      <c r="G849" s="11"/>
      <c r="H849" s="11"/>
      <c r="I849" s="8"/>
      <c r="J849" s="8"/>
      <c r="K849" s="62"/>
      <c r="L849" s="1"/>
    </row>
    <row r="850" ht="15.6" spans="1:12">
      <c r="A850" s="6"/>
      <c r="B850" s="6"/>
      <c r="C850" s="60"/>
      <c r="D850" s="23"/>
      <c r="E850" s="61"/>
      <c r="F850" s="11"/>
      <c r="G850" s="11"/>
      <c r="H850" s="11"/>
      <c r="I850" s="8"/>
      <c r="J850" s="8"/>
      <c r="K850" s="62"/>
      <c r="L850" s="1"/>
    </row>
    <row r="851" ht="15.6" spans="1:12">
      <c r="A851" s="6"/>
      <c r="B851" s="6"/>
      <c r="C851" s="60"/>
      <c r="D851" s="23"/>
      <c r="E851" s="61"/>
      <c r="F851" s="11"/>
      <c r="G851" s="11"/>
      <c r="H851" s="11"/>
      <c r="I851" s="8"/>
      <c r="J851" s="8"/>
      <c r="K851" s="62"/>
      <c r="L851" s="1"/>
    </row>
    <row r="852" ht="15.6" spans="1:12">
      <c r="A852" s="6"/>
      <c r="B852" s="6"/>
      <c r="C852" s="60"/>
      <c r="D852" s="23"/>
      <c r="E852" s="61"/>
      <c r="F852" s="11"/>
      <c r="G852" s="11"/>
      <c r="H852" s="11"/>
      <c r="I852" s="8"/>
      <c r="J852" s="8"/>
      <c r="K852" s="62"/>
      <c r="L852" s="1"/>
    </row>
    <row r="853" ht="15.6" spans="1:12">
      <c r="A853" s="6"/>
      <c r="B853" s="6"/>
      <c r="C853" s="60"/>
      <c r="D853" s="23"/>
      <c r="E853" s="61"/>
      <c r="F853" s="11"/>
      <c r="G853" s="11"/>
      <c r="H853" s="11"/>
      <c r="I853" s="8"/>
      <c r="J853" s="8"/>
      <c r="K853" s="62"/>
      <c r="L853" s="1"/>
    </row>
    <row r="854" ht="15.6" spans="1:12">
      <c r="A854" s="6"/>
      <c r="B854" s="6"/>
      <c r="C854" s="60"/>
      <c r="D854" s="23"/>
      <c r="E854" s="61"/>
      <c r="F854" s="11"/>
      <c r="G854" s="11"/>
      <c r="H854" s="11"/>
      <c r="I854" s="8"/>
      <c r="J854" s="8"/>
      <c r="K854" s="62"/>
      <c r="L854" s="1"/>
    </row>
    <row r="855" ht="15.6" spans="1:12">
      <c r="A855" s="6"/>
      <c r="B855" s="6"/>
      <c r="C855" s="60"/>
      <c r="D855" s="23"/>
      <c r="E855" s="61"/>
      <c r="F855" s="11"/>
      <c r="G855" s="11"/>
      <c r="H855" s="11"/>
      <c r="I855" s="8"/>
      <c r="J855" s="8"/>
      <c r="K855" s="62"/>
      <c r="L855" s="1"/>
    </row>
    <row r="856" ht="15.6" spans="1:12">
      <c r="A856" s="6"/>
      <c r="B856" s="6"/>
      <c r="C856" s="60"/>
      <c r="D856" s="23"/>
      <c r="E856" s="61"/>
      <c r="F856" s="11"/>
      <c r="G856" s="11"/>
      <c r="H856" s="11"/>
      <c r="I856" s="8"/>
      <c r="J856" s="8"/>
      <c r="K856" s="62"/>
      <c r="L856" s="1"/>
    </row>
    <row r="857" ht="15.6" spans="1:12">
      <c r="A857" s="6"/>
      <c r="B857" s="6"/>
      <c r="C857" s="60"/>
      <c r="D857" s="23"/>
      <c r="E857" s="61"/>
      <c r="F857" s="11"/>
      <c r="G857" s="11"/>
      <c r="H857" s="11"/>
      <c r="I857" s="8"/>
      <c r="J857" s="8"/>
      <c r="K857" s="62"/>
      <c r="L857" s="1"/>
    </row>
    <row r="858" ht="15.6" spans="1:12">
      <c r="A858" s="6"/>
      <c r="B858" s="6"/>
      <c r="C858" s="60"/>
      <c r="D858" s="23"/>
      <c r="E858" s="61"/>
      <c r="F858" s="11"/>
      <c r="G858" s="11"/>
      <c r="H858" s="11"/>
      <c r="I858" s="8"/>
      <c r="J858" s="8"/>
      <c r="K858" s="62"/>
      <c r="L858" s="1"/>
    </row>
    <row r="859" ht="15.6" spans="1:12">
      <c r="A859" s="6"/>
      <c r="B859" s="6"/>
      <c r="C859" s="60"/>
      <c r="D859" s="23"/>
      <c r="E859" s="61"/>
      <c r="F859" s="11"/>
      <c r="G859" s="11"/>
      <c r="H859" s="11"/>
      <c r="I859" s="8"/>
      <c r="J859" s="8"/>
      <c r="K859" s="62"/>
      <c r="L859" s="1"/>
    </row>
    <row r="860" ht="15.6" spans="1:12">
      <c r="A860" s="6"/>
      <c r="B860" s="6"/>
      <c r="C860" s="60"/>
      <c r="D860" s="23"/>
      <c r="E860" s="61"/>
      <c r="F860" s="11"/>
      <c r="G860" s="11"/>
      <c r="H860" s="11"/>
      <c r="I860" s="8"/>
      <c r="J860" s="8"/>
      <c r="K860" s="62"/>
      <c r="L860" s="1"/>
    </row>
    <row r="861" ht="15.6" spans="1:12">
      <c r="A861" s="6"/>
      <c r="B861" s="6"/>
      <c r="C861" s="60"/>
      <c r="D861" s="23"/>
      <c r="E861" s="61"/>
      <c r="F861" s="11"/>
      <c r="G861" s="11"/>
      <c r="H861" s="11"/>
      <c r="I861" s="8"/>
      <c r="J861" s="8"/>
      <c r="K861" s="62"/>
      <c r="L861" s="1"/>
    </row>
    <row r="862" ht="15.6" spans="1:12">
      <c r="A862" s="6"/>
      <c r="B862" s="6"/>
      <c r="C862" s="60"/>
      <c r="D862" s="23"/>
      <c r="E862" s="61"/>
      <c r="F862" s="11"/>
      <c r="G862" s="11"/>
      <c r="H862" s="11"/>
      <c r="I862" s="8"/>
      <c r="J862" s="8"/>
      <c r="K862" s="62"/>
      <c r="L862" s="1"/>
    </row>
    <row r="863" ht="15.6" spans="1:12">
      <c r="A863" s="6"/>
      <c r="B863" s="6"/>
      <c r="C863" s="60"/>
      <c r="D863" s="23"/>
      <c r="E863" s="61"/>
      <c r="F863" s="11"/>
      <c r="G863" s="11"/>
      <c r="H863" s="11"/>
      <c r="I863" s="8"/>
      <c r="J863" s="8"/>
      <c r="K863" s="62"/>
      <c r="L863" s="1"/>
    </row>
    <row r="864" ht="15.6" spans="1:12">
      <c r="A864" s="6"/>
      <c r="B864" s="6"/>
      <c r="C864" s="60"/>
      <c r="D864" s="23"/>
      <c r="E864" s="61"/>
      <c r="F864" s="11"/>
      <c r="G864" s="11"/>
      <c r="H864" s="11"/>
      <c r="I864" s="8"/>
      <c r="J864" s="8"/>
      <c r="K864" s="62"/>
      <c r="L864" s="1"/>
    </row>
    <row r="865" ht="15.6" spans="1:12">
      <c r="A865" s="6"/>
      <c r="B865" s="6"/>
      <c r="C865" s="60"/>
      <c r="D865" s="23"/>
      <c r="E865" s="61"/>
      <c r="F865" s="11"/>
      <c r="G865" s="11"/>
      <c r="H865" s="11"/>
      <c r="I865" s="8"/>
      <c r="J865" s="8"/>
      <c r="K865" s="62"/>
      <c r="L865" s="1"/>
    </row>
    <row r="866" ht="15.6" spans="1:12">
      <c r="A866" s="6"/>
      <c r="B866" s="6"/>
      <c r="C866" s="60"/>
      <c r="D866" s="23"/>
      <c r="E866" s="61"/>
      <c r="F866" s="11"/>
      <c r="G866" s="11"/>
      <c r="H866" s="11"/>
      <c r="I866" s="8"/>
      <c r="J866" s="8"/>
      <c r="K866" s="62"/>
      <c r="L866" s="1"/>
    </row>
    <row r="867" ht="15.6" spans="1:12">
      <c r="A867" s="6"/>
      <c r="B867" s="6"/>
      <c r="C867" s="60"/>
      <c r="D867" s="23"/>
      <c r="E867" s="61"/>
      <c r="F867" s="11"/>
      <c r="G867" s="11"/>
      <c r="H867" s="11"/>
      <c r="I867" s="8"/>
      <c r="J867" s="8"/>
      <c r="K867" s="62"/>
      <c r="L867" s="1"/>
    </row>
    <row r="868" ht="15.6" spans="1:12">
      <c r="A868" s="6"/>
      <c r="B868" s="6"/>
      <c r="C868" s="60"/>
      <c r="D868" s="23"/>
      <c r="E868" s="61"/>
      <c r="F868" s="11"/>
      <c r="G868" s="11"/>
      <c r="H868" s="11"/>
      <c r="I868" s="8"/>
      <c r="J868" s="8"/>
      <c r="K868" s="62"/>
      <c r="L868" s="1"/>
    </row>
    <row r="869" ht="15.6" spans="1:12">
      <c r="A869" s="6"/>
      <c r="B869" s="6"/>
      <c r="C869" s="60"/>
      <c r="D869" s="23"/>
      <c r="E869" s="61"/>
      <c r="F869" s="11"/>
      <c r="G869" s="11"/>
      <c r="H869" s="11"/>
      <c r="I869" s="8"/>
      <c r="J869" s="8"/>
      <c r="K869" s="62"/>
      <c r="L869" s="1"/>
    </row>
    <row r="870" ht="15.6" spans="1:12">
      <c r="A870" s="6"/>
      <c r="B870" s="6"/>
      <c r="C870" s="60"/>
      <c r="D870" s="23"/>
      <c r="E870" s="61"/>
      <c r="F870" s="11"/>
      <c r="G870" s="11"/>
      <c r="H870" s="11"/>
      <c r="I870" s="8"/>
      <c r="J870" s="8"/>
      <c r="K870" s="62"/>
      <c r="L870" s="1"/>
    </row>
    <row r="871" ht="15.6" spans="1:12">
      <c r="A871" s="6"/>
      <c r="B871" s="6"/>
      <c r="C871" s="60"/>
      <c r="D871" s="23"/>
      <c r="E871" s="61"/>
      <c r="F871" s="11"/>
      <c r="G871" s="11"/>
      <c r="H871" s="11"/>
      <c r="I871" s="8"/>
      <c r="J871" s="8"/>
      <c r="K871" s="62"/>
      <c r="L871" s="1"/>
    </row>
    <row r="872" ht="15.6" spans="1:12">
      <c r="A872" s="6"/>
      <c r="B872" s="6"/>
      <c r="C872" s="60"/>
      <c r="D872" s="23"/>
      <c r="E872" s="61"/>
      <c r="F872" s="11"/>
      <c r="G872" s="11"/>
      <c r="H872" s="11"/>
      <c r="I872" s="8"/>
      <c r="J872" s="8"/>
      <c r="K872" s="62"/>
      <c r="L872" s="1"/>
    </row>
    <row r="873" ht="15.6" spans="1:12">
      <c r="A873" s="6"/>
      <c r="B873" s="6"/>
      <c r="C873" s="60"/>
      <c r="D873" s="23"/>
      <c r="E873" s="61"/>
      <c r="F873" s="11"/>
      <c r="G873" s="11"/>
      <c r="H873" s="11"/>
      <c r="I873" s="8"/>
      <c r="J873" s="8"/>
      <c r="K873" s="62"/>
      <c r="L873" s="1"/>
    </row>
    <row r="874" ht="15.6" spans="1:12">
      <c r="A874" s="6"/>
      <c r="B874" s="6"/>
      <c r="C874" s="60"/>
      <c r="D874" s="23"/>
      <c r="E874" s="61"/>
      <c r="F874" s="11"/>
      <c r="G874" s="11"/>
      <c r="H874" s="11"/>
      <c r="I874" s="8"/>
      <c r="J874" s="8"/>
      <c r="K874" s="62"/>
      <c r="L874" s="1"/>
    </row>
    <row r="875" ht="15.6" spans="1:12">
      <c r="A875" s="6"/>
      <c r="B875" s="6"/>
      <c r="C875" s="60"/>
      <c r="D875" s="23"/>
      <c r="E875" s="61"/>
      <c r="F875" s="11"/>
      <c r="G875" s="11"/>
      <c r="H875" s="11"/>
      <c r="I875" s="8"/>
      <c r="J875" s="8"/>
      <c r="K875" s="62"/>
      <c r="L875" s="1"/>
    </row>
    <row r="876" ht="15.6" spans="1:12">
      <c r="A876" s="6"/>
      <c r="B876" s="6"/>
      <c r="C876" s="60"/>
      <c r="D876" s="23"/>
      <c r="E876" s="61"/>
      <c r="F876" s="11"/>
      <c r="G876" s="11"/>
      <c r="H876" s="11"/>
      <c r="I876" s="8"/>
      <c r="J876" s="8"/>
      <c r="K876" s="62"/>
      <c r="L876" s="1"/>
    </row>
    <row r="877" ht="15.6" spans="1:12">
      <c r="A877" s="6"/>
      <c r="B877" s="6"/>
      <c r="C877" s="60"/>
      <c r="D877" s="23"/>
      <c r="E877" s="61"/>
      <c r="F877" s="11"/>
      <c r="G877" s="11"/>
      <c r="H877" s="11"/>
      <c r="I877" s="8"/>
      <c r="J877" s="8"/>
      <c r="K877" s="62"/>
      <c r="L877" s="1"/>
    </row>
    <row r="878" ht="15.6" spans="1:12">
      <c r="A878" s="6"/>
      <c r="B878" s="6"/>
      <c r="C878" s="60"/>
      <c r="D878" s="23"/>
      <c r="E878" s="61"/>
      <c r="F878" s="11"/>
      <c r="G878" s="11"/>
      <c r="H878" s="11"/>
      <c r="I878" s="8"/>
      <c r="J878" s="8"/>
      <c r="K878" s="62"/>
      <c r="L878" s="1"/>
    </row>
    <row r="879" ht="15.6" spans="1:12">
      <c r="A879" s="6"/>
      <c r="B879" s="6"/>
      <c r="C879" s="60"/>
      <c r="D879" s="23"/>
      <c r="E879" s="61"/>
      <c r="F879" s="11"/>
      <c r="G879" s="11"/>
      <c r="H879" s="11"/>
      <c r="I879" s="8"/>
      <c r="J879" s="8"/>
      <c r="K879" s="62"/>
      <c r="L879" s="1"/>
    </row>
    <row r="880" ht="15.6" spans="1:12">
      <c r="A880" s="6"/>
      <c r="B880" s="6"/>
      <c r="C880" s="60"/>
      <c r="D880" s="23"/>
      <c r="E880" s="61"/>
      <c r="F880" s="11"/>
      <c r="G880" s="11"/>
      <c r="H880" s="11"/>
      <c r="I880" s="8"/>
      <c r="J880" s="8"/>
      <c r="K880" s="62"/>
      <c r="L880" s="1"/>
    </row>
    <row r="881" ht="15.6" spans="1:12">
      <c r="A881" s="6"/>
      <c r="B881" s="6"/>
      <c r="C881" s="60"/>
      <c r="D881" s="23"/>
      <c r="E881" s="61"/>
      <c r="F881" s="11"/>
      <c r="G881" s="11"/>
      <c r="H881" s="11"/>
      <c r="I881" s="8"/>
      <c r="J881" s="8"/>
      <c r="K881" s="62"/>
      <c r="L881" s="1"/>
    </row>
    <row r="882" ht="15.6" spans="1:12">
      <c r="A882" s="6"/>
      <c r="B882" s="6"/>
      <c r="C882" s="60"/>
      <c r="D882" s="23"/>
      <c r="E882" s="61"/>
      <c r="F882" s="11"/>
      <c r="G882" s="11"/>
      <c r="H882" s="11"/>
      <c r="I882" s="8"/>
      <c r="J882" s="8"/>
      <c r="K882" s="62"/>
      <c r="L882" s="1"/>
    </row>
    <row r="883" ht="15.6" spans="1:12">
      <c r="A883" s="6"/>
      <c r="B883" s="6"/>
      <c r="C883" s="60"/>
      <c r="D883" s="23"/>
      <c r="E883" s="61"/>
      <c r="F883" s="11"/>
      <c r="G883" s="11"/>
      <c r="H883" s="11"/>
      <c r="I883" s="8"/>
      <c r="J883" s="8"/>
      <c r="K883" s="62"/>
      <c r="L883" s="1"/>
    </row>
    <row r="884" ht="15.6" spans="1:12">
      <c r="A884" s="6"/>
      <c r="B884" s="6"/>
      <c r="C884" s="60"/>
      <c r="D884" s="23"/>
      <c r="E884" s="61"/>
      <c r="F884" s="11"/>
      <c r="G884" s="11"/>
      <c r="H884" s="11"/>
      <c r="I884" s="8"/>
      <c r="J884" s="8"/>
      <c r="K884" s="62"/>
      <c r="L884" s="1"/>
    </row>
    <row r="885" ht="15.6" spans="1:12">
      <c r="A885" s="6"/>
      <c r="B885" s="6"/>
      <c r="C885" s="60"/>
      <c r="D885" s="23"/>
      <c r="E885" s="61"/>
      <c r="F885" s="11"/>
      <c r="G885" s="11"/>
      <c r="H885" s="11"/>
      <c r="I885" s="8"/>
      <c r="J885" s="8"/>
      <c r="K885" s="62"/>
      <c r="L885" s="1"/>
    </row>
    <row r="886" ht="15.6" spans="1:12">
      <c r="A886" s="6"/>
      <c r="B886" s="6"/>
      <c r="C886" s="60"/>
      <c r="D886" s="23"/>
      <c r="E886" s="61"/>
      <c r="F886" s="11"/>
      <c r="G886" s="11"/>
      <c r="H886" s="11"/>
      <c r="I886" s="8"/>
      <c r="J886" s="8"/>
      <c r="K886" s="62"/>
      <c r="L886" s="1"/>
    </row>
    <row r="887" ht="15.6" spans="1:12">
      <c r="A887" s="6"/>
      <c r="B887" s="6"/>
      <c r="C887" s="60"/>
      <c r="D887" s="23"/>
      <c r="E887" s="61"/>
      <c r="F887" s="11"/>
      <c r="G887" s="11"/>
      <c r="H887" s="11"/>
      <c r="I887" s="8"/>
      <c r="J887" s="8"/>
      <c r="K887" s="62"/>
      <c r="L887" s="1"/>
    </row>
    <row r="888" ht="15.6" spans="1:12">
      <c r="A888" s="6"/>
      <c r="B888" s="6"/>
      <c r="C888" s="60"/>
      <c r="D888" s="23"/>
      <c r="E888" s="61"/>
      <c r="F888" s="11"/>
      <c r="G888" s="11"/>
      <c r="H888" s="11"/>
      <c r="I888" s="8"/>
      <c r="J888" s="8"/>
      <c r="K888" s="62"/>
      <c r="L888" s="1"/>
    </row>
    <row r="889" ht="15.6" spans="1:12">
      <c r="A889" s="6"/>
      <c r="B889" s="6"/>
      <c r="C889" s="60"/>
      <c r="D889" s="23"/>
      <c r="E889" s="61"/>
      <c r="F889" s="11"/>
      <c r="G889" s="11"/>
      <c r="H889" s="11"/>
      <c r="I889" s="8"/>
      <c r="J889" s="8"/>
      <c r="K889" s="62"/>
      <c r="L889" s="1"/>
    </row>
    <row r="890" ht="15.6" spans="1:12">
      <c r="A890" s="6"/>
      <c r="B890" s="6"/>
      <c r="C890" s="60"/>
      <c r="D890" s="23"/>
      <c r="E890" s="61"/>
      <c r="F890" s="11"/>
      <c r="G890" s="11"/>
      <c r="H890" s="11"/>
      <c r="I890" s="8"/>
      <c r="J890" s="8"/>
      <c r="K890" s="62"/>
      <c r="L890" s="1"/>
    </row>
    <row r="891" ht="15.6" spans="1:12">
      <c r="A891" s="6"/>
      <c r="B891" s="6"/>
      <c r="C891" s="60"/>
      <c r="D891" s="23"/>
      <c r="E891" s="61"/>
      <c r="F891" s="11"/>
      <c r="G891" s="11"/>
      <c r="H891" s="11"/>
      <c r="I891" s="8"/>
      <c r="J891" s="8"/>
      <c r="K891" s="62"/>
      <c r="L891" s="1"/>
    </row>
    <row r="892" ht="15.6" spans="1:12">
      <c r="A892" s="6"/>
      <c r="B892" s="6"/>
      <c r="C892" s="60"/>
      <c r="D892" s="23"/>
      <c r="E892" s="61"/>
      <c r="F892" s="11"/>
      <c r="G892" s="11"/>
      <c r="H892" s="11"/>
      <c r="I892" s="8"/>
      <c r="J892" s="8"/>
      <c r="K892" s="62"/>
      <c r="L892" s="1"/>
    </row>
    <row r="893" ht="15.6" spans="1:12">
      <c r="A893" s="6"/>
      <c r="B893" s="6"/>
      <c r="C893" s="60"/>
      <c r="D893" s="23"/>
      <c r="E893" s="61"/>
      <c r="F893" s="11"/>
      <c r="G893" s="11"/>
      <c r="H893" s="11"/>
      <c r="I893" s="8"/>
      <c r="J893" s="8"/>
      <c r="K893" s="62"/>
      <c r="L893" s="1"/>
    </row>
    <row r="894" ht="15.6" spans="1:12">
      <c r="A894" s="6"/>
      <c r="B894" s="6"/>
      <c r="C894" s="60"/>
      <c r="D894" s="23"/>
      <c r="E894" s="61"/>
      <c r="F894" s="11"/>
      <c r="G894" s="11"/>
      <c r="H894" s="11"/>
      <c r="I894" s="8"/>
      <c r="J894" s="8"/>
      <c r="K894" s="62"/>
      <c r="L894" s="1"/>
    </row>
    <row r="895" ht="15.6" spans="1:12">
      <c r="A895" s="6"/>
      <c r="B895" s="6"/>
      <c r="C895" s="60"/>
      <c r="D895" s="23"/>
      <c r="E895" s="61"/>
      <c r="F895" s="11"/>
      <c r="G895" s="11"/>
      <c r="H895" s="11"/>
      <c r="I895" s="8"/>
      <c r="J895" s="8"/>
      <c r="K895" s="62"/>
      <c r="L895" s="1"/>
    </row>
    <row r="896" ht="15.6" spans="1:12">
      <c r="A896" s="6"/>
      <c r="B896" s="6"/>
      <c r="C896" s="60"/>
      <c r="D896" s="23"/>
      <c r="E896" s="61"/>
      <c r="F896" s="11"/>
      <c r="G896" s="11"/>
      <c r="H896" s="11"/>
      <c r="I896" s="8"/>
      <c r="J896" s="8"/>
      <c r="K896" s="62"/>
      <c r="L896" s="1"/>
    </row>
    <row r="897" ht="15.6" spans="1:12">
      <c r="A897" s="6"/>
      <c r="B897" s="6"/>
      <c r="C897" s="60"/>
      <c r="D897" s="23"/>
      <c r="E897" s="61"/>
      <c r="F897" s="11"/>
      <c r="G897" s="11"/>
      <c r="H897" s="11"/>
      <c r="I897" s="8"/>
      <c r="J897" s="8"/>
      <c r="K897" s="62"/>
      <c r="L897" s="1"/>
    </row>
    <row r="898" ht="15.6" spans="1:12">
      <c r="A898" s="6"/>
      <c r="B898" s="6"/>
      <c r="C898" s="60"/>
      <c r="D898" s="23"/>
      <c r="E898" s="61"/>
      <c r="F898" s="11"/>
      <c r="G898" s="11"/>
      <c r="H898" s="11"/>
      <c r="I898" s="8"/>
      <c r="J898" s="8"/>
      <c r="K898" s="62"/>
      <c r="L898" s="1"/>
    </row>
    <row r="899" ht="15.6" spans="1:12">
      <c r="A899" s="6"/>
      <c r="B899" s="6"/>
      <c r="C899" s="60"/>
      <c r="D899" s="23"/>
      <c r="E899" s="61"/>
      <c r="F899" s="11"/>
      <c r="G899" s="11"/>
      <c r="H899" s="11"/>
      <c r="I899" s="8"/>
      <c r="J899" s="8"/>
      <c r="K899" s="62"/>
      <c r="L899" s="1"/>
    </row>
    <row r="900" ht="15.6" spans="1:12">
      <c r="A900" s="6"/>
      <c r="B900" s="6"/>
      <c r="C900" s="60"/>
      <c r="D900" s="23"/>
      <c r="E900" s="61"/>
      <c r="F900" s="11"/>
      <c r="G900" s="11"/>
      <c r="H900" s="11"/>
      <c r="I900" s="8"/>
      <c r="J900" s="8"/>
      <c r="K900" s="62"/>
      <c r="L900" s="1"/>
    </row>
    <row r="901" ht="15.6" spans="1:12">
      <c r="A901" s="6"/>
      <c r="B901" s="6"/>
      <c r="C901" s="60"/>
      <c r="D901" s="23"/>
      <c r="E901" s="61"/>
      <c r="F901" s="11"/>
      <c r="G901" s="11"/>
      <c r="H901" s="11"/>
      <c r="I901" s="8"/>
      <c r="J901" s="8"/>
      <c r="K901" s="62"/>
      <c r="L901" s="1"/>
    </row>
    <row r="902" ht="15.6" spans="1:12">
      <c r="A902" s="6"/>
      <c r="B902" s="6"/>
      <c r="C902" s="60"/>
      <c r="D902" s="23"/>
      <c r="E902" s="61"/>
      <c r="F902" s="11"/>
      <c r="G902" s="11"/>
      <c r="H902" s="11"/>
      <c r="I902" s="8"/>
      <c r="J902" s="8"/>
      <c r="K902" s="62"/>
      <c r="L902" s="1"/>
    </row>
    <row r="903" ht="15.6" spans="1:12">
      <c r="A903" s="6"/>
      <c r="B903" s="6"/>
      <c r="C903" s="60"/>
      <c r="D903" s="23"/>
      <c r="E903" s="61"/>
      <c r="F903" s="11"/>
      <c r="G903" s="11"/>
      <c r="H903" s="11"/>
      <c r="I903" s="8"/>
      <c r="J903" s="8"/>
      <c r="K903" s="62"/>
      <c r="L903" s="1"/>
    </row>
    <row r="904" ht="15.6" spans="1:12">
      <c r="A904" s="6"/>
      <c r="B904" s="6"/>
      <c r="C904" s="60"/>
      <c r="D904" s="23"/>
      <c r="E904" s="61"/>
      <c r="F904" s="11"/>
      <c r="G904" s="11"/>
      <c r="H904" s="11"/>
      <c r="I904" s="8"/>
      <c r="J904" s="8"/>
      <c r="K904" s="62"/>
      <c r="L904" s="1"/>
    </row>
    <row r="905" ht="15.6" spans="1:12">
      <c r="A905" s="6"/>
      <c r="B905" s="6"/>
      <c r="C905" s="60"/>
      <c r="D905" s="23"/>
      <c r="E905" s="61"/>
      <c r="F905" s="11"/>
      <c r="G905" s="11"/>
      <c r="H905" s="11"/>
      <c r="I905" s="8"/>
      <c r="J905" s="8"/>
      <c r="K905" s="62"/>
      <c r="L905" s="1"/>
    </row>
    <row r="906" ht="15.6" spans="1:12">
      <c r="A906" s="6"/>
      <c r="B906" s="6"/>
      <c r="C906" s="60"/>
      <c r="D906" s="23"/>
      <c r="E906" s="61"/>
      <c r="F906" s="11"/>
      <c r="G906" s="11"/>
      <c r="H906" s="11"/>
      <c r="I906" s="8"/>
      <c r="J906" s="8"/>
      <c r="K906" s="62"/>
      <c r="L906" s="1"/>
    </row>
    <row r="907" ht="15.6" spans="1:12">
      <c r="A907" s="6"/>
      <c r="B907" s="6"/>
      <c r="C907" s="60"/>
      <c r="D907" s="23"/>
      <c r="E907" s="61"/>
      <c r="F907" s="11"/>
      <c r="G907" s="11"/>
      <c r="H907" s="11"/>
      <c r="I907" s="8"/>
      <c r="J907" s="8"/>
      <c r="K907" s="62"/>
      <c r="L907" s="1"/>
    </row>
    <row r="908" ht="15.6" spans="1:12">
      <c r="A908" s="6"/>
      <c r="B908" s="6"/>
      <c r="C908" s="60"/>
      <c r="D908" s="23"/>
      <c r="E908" s="61"/>
      <c r="F908" s="11"/>
      <c r="G908" s="11"/>
      <c r="H908" s="11"/>
      <c r="I908" s="8"/>
      <c r="J908" s="8"/>
      <c r="K908" s="62"/>
      <c r="L908" s="1"/>
    </row>
    <row r="909" ht="15.6" spans="1:12">
      <c r="A909" s="6"/>
      <c r="B909" s="6"/>
      <c r="C909" s="60"/>
      <c r="D909" s="23"/>
      <c r="E909" s="61"/>
      <c r="F909" s="11"/>
      <c r="G909" s="11"/>
      <c r="H909" s="11"/>
      <c r="I909" s="8"/>
      <c r="J909" s="8"/>
      <c r="K909" s="62"/>
      <c r="L909" s="1"/>
    </row>
    <row r="910" ht="15.6" spans="1:12">
      <c r="A910" s="6"/>
      <c r="B910" s="6"/>
      <c r="C910" s="60"/>
      <c r="D910" s="23"/>
      <c r="E910" s="61"/>
      <c r="F910" s="11"/>
      <c r="G910" s="11"/>
      <c r="H910" s="11"/>
      <c r="I910" s="8"/>
      <c r="J910" s="8"/>
      <c r="K910" s="62"/>
      <c r="L910" s="1"/>
    </row>
    <row r="911" ht="15.6" spans="1:12">
      <c r="A911" s="6"/>
      <c r="B911" s="6"/>
      <c r="C911" s="60"/>
      <c r="D911" s="23"/>
      <c r="E911" s="61"/>
      <c r="F911" s="11"/>
      <c r="G911" s="11"/>
      <c r="H911" s="11"/>
      <c r="I911" s="8"/>
      <c r="J911" s="8"/>
      <c r="K911" s="62"/>
      <c r="L911" s="1"/>
    </row>
    <row r="912" ht="15.6" spans="1:12">
      <c r="A912" s="6"/>
      <c r="B912" s="6"/>
      <c r="C912" s="60"/>
      <c r="D912" s="23"/>
      <c r="E912" s="61"/>
      <c r="F912" s="11"/>
      <c r="G912" s="11"/>
      <c r="H912" s="11"/>
      <c r="I912" s="8"/>
      <c r="J912" s="8"/>
      <c r="K912" s="62"/>
      <c r="L912" s="1"/>
    </row>
    <row r="913" ht="15.6" spans="1:12">
      <c r="A913" s="6"/>
      <c r="B913" s="6"/>
      <c r="C913" s="60"/>
      <c r="D913" s="23"/>
      <c r="E913" s="61"/>
      <c r="F913" s="11"/>
      <c r="G913" s="11"/>
      <c r="H913" s="11"/>
      <c r="I913" s="8"/>
      <c r="J913" s="8"/>
      <c r="K913" s="62"/>
      <c r="L913" s="1"/>
    </row>
    <row r="914" ht="15.6" spans="1:12">
      <c r="A914" s="6"/>
      <c r="B914" s="6"/>
      <c r="C914" s="60"/>
      <c r="D914" s="23"/>
      <c r="E914" s="61"/>
      <c r="F914" s="11"/>
      <c r="G914" s="11"/>
      <c r="H914" s="11"/>
      <c r="I914" s="8"/>
      <c r="J914" s="8"/>
      <c r="K914" s="62"/>
      <c r="L914" s="1"/>
    </row>
    <row r="915" ht="15.6" spans="1:12">
      <c r="A915" s="6"/>
      <c r="B915" s="6"/>
      <c r="C915" s="60"/>
      <c r="D915" s="23"/>
      <c r="E915" s="61"/>
      <c r="F915" s="11"/>
      <c r="G915" s="11"/>
      <c r="H915" s="11"/>
      <c r="I915" s="8"/>
      <c r="J915" s="8"/>
      <c r="K915" s="62"/>
      <c r="L915" s="1"/>
    </row>
    <row r="916" ht="15.6" spans="1:12">
      <c r="A916" s="6"/>
      <c r="B916" s="6"/>
      <c r="C916" s="60"/>
      <c r="D916" s="23"/>
      <c r="E916" s="61"/>
      <c r="F916" s="11"/>
      <c r="G916" s="11"/>
      <c r="H916" s="11"/>
      <c r="I916" s="8"/>
      <c r="J916" s="8"/>
      <c r="K916" s="62"/>
      <c r="L916" s="1"/>
    </row>
    <row r="917" ht="15.6" spans="1:12">
      <c r="A917" s="6"/>
      <c r="B917" s="6"/>
      <c r="C917" s="60"/>
      <c r="D917" s="23"/>
      <c r="E917" s="61"/>
      <c r="F917" s="11"/>
      <c r="G917" s="11"/>
      <c r="H917" s="11"/>
      <c r="I917" s="8"/>
      <c r="J917" s="8"/>
      <c r="K917" s="62"/>
      <c r="L917" s="1"/>
    </row>
    <row r="918" ht="15.6" spans="1:12">
      <c r="A918" s="6"/>
      <c r="B918" s="6"/>
      <c r="C918" s="60"/>
      <c r="D918" s="23"/>
      <c r="E918" s="61"/>
      <c r="F918" s="11"/>
      <c r="G918" s="11"/>
      <c r="H918" s="11"/>
      <c r="I918" s="8"/>
      <c r="J918" s="8"/>
      <c r="K918" s="62"/>
      <c r="L918" s="1"/>
    </row>
    <row r="919" ht="15.6" spans="1:12">
      <c r="A919" s="6"/>
      <c r="B919" s="6"/>
      <c r="C919" s="60"/>
      <c r="D919" s="23"/>
      <c r="E919" s="61"/>
      <c r="F919" s="11"/>
      <c r="G919" s="11"/>
      <c r="H919" s="11"/>
      <c r="I919" s="8"/>
      <c r="J919" s="8"/>
      <c r="K919" s="62"/>
      <c r="L919" s="1"/>
    </row>
    <row r="920" ht="15.6" spans="1:12">
      <c r="A920" s="6"/>
      <c r="B920" s="6"/>
      <c r="C920" s="60"/>
      <c r="D920" s="23"/>
      <c r="E920" s="61"/>
      <c r="F920" s="11"/>
      <c r="G920" s="11"/>
      <c r="H920" s="11"/>
      <c r="I920" s="8"/>
      <c r="J920" s="8"/>
      <c r="K920" s="62"/>
      <c r="L920" s="1"/>
    </row>
    <row r="921" ht="15.6" spans="1:12">
      <c r="A921" s="6"/>
      <c r="B921" s="6"/>
      <c r="C921" s="60"/>
      <c r="D921" s="23"/>
      <c r="E921" s="61"/>
      <c r="F921" s="11"/>
      <c r="G921" s="11"/>
      <c r="H921" s="11"/>
      <c r="I921" s="8"/>
      <c r="J921" s="8"/>
      <c r="K921" s="62"/>
      <c r="L921" s="1"/>
    </row>
    <row r="922" ht="15.6" spans="1:12">
      <c r="A922" s="6"/>
      <c r="B922" s="6"/>
      <c r="C922" s="60"/>
      <c r="D922" s="23"/>
      <c r="E922" s="61"/>
      <c r="F922" s="11"/>
      <c r="G922" s="11"/>
      <c r="H922" s="11"/>
      <c r="I922" s="8"/>
      <c r="J922" s="8"/>
      <c r="K922" s="62"/>
      <c r="L922" s="1"/>
    </row>
    <row r="923" ht="15.6" spans="1:12">
      <c r="A923" s="6"/>
      <c r="B923" s="6"/>
      <c r="C923" s="60"/>
      <c r="D923" s="23"/>
      <c r="E923" s="61"/>
      <c r="F923" s="11"/>
      <c r="G923" s="11"/>
      <c r="H923" s="11"/>
      <c r="I923" s="8"/>
      <c r="J923" s="8"/>
      <c r="K923" s="62"/>
      <c r="L923" s="1"/>
    </row>
    <row r="924" ht="15.6" spans="1:12">
      <c r="A924" s="6"/>
      <c r="B924" s="6"/>
      <c r="C924" s="60"/>
      <c r="D924" s="23"/>
      <c r="E924" s="61"/>
      <c r="F924" s="11"/>
      <c r="G924" s="11"/>
      <c r="H924" s="11"/>
      <c r="I924" s="8"/>
      <c r="J924" s="8"/>
      <c r="K924" s="62"/>
      <c r="L924" s="1"/>
    </row>
    <row r="925" ht="15.6" spans="1:12">
      <c r="A925" s="6"/>
      <c r="B925" s="6"/>
      <c r="C925" s="60"/>
      <c r="D925" s="23"/>
      <c r="E925" s="61"/>
      <c r="F925" s="11"/>
      <c r="G925" s="11"/>
      <c r="H925" s="11"/>
      <c r="I925" s="8"/>
      <c r="J925" s="8"/>
      <c r="K925" s="62"/>
      <c r="L925" s="1"/>
    </row>
    <row r="926" ht="15.6" spans="1:12">
      <c r="A926" s="6"/>
      <c r="B926" s="6"/>
      <c r="C926" s="60"/>
      <c r="D926" s="23"/>
      <c r="E926" s="61"/>
      <c r="F926" s="11"/>
      <c r="G926" s="11"/>
      <c r="H926" s="11"/>
      <c r="I926" s="8"/>
      <c r="J926" s="8"/>
      <c r="K926" s="62"/>
      <c r="L926" s="1"/>
    </row>
    <row r="927" ht="15.6" spans="1:12">
      <c r="A927" s="6"/>
      <c r="B927" s="6"/>
      <c r="C927" s="60"/>
      <c r="D927" s="23"/>
      <c r="E927" s="61"/>
      <c r="F927" s="11"/>
      <c r="G927" s="11"/>
      <c r="H927" s="11"/>
      <c r="I927" s="8"/>
      <c r="J927" s="8"/>
      <c r="K927" s="62"/>
      <c r="L927" s="1"/>
    </row>
    <row r="928" ht="15.6" spans="1:12">
      <c r="A928" s="6"/>
      <c r="B928" s="6"/>
      <c r="C928" s="60"/>
      <c r="D928" s="23"/>
      <c r="E928" s="61"/>
      <c r="F928" s="11"/>
      <c r="G928" s="11"/>
      <c r="H928" s="11"/>
      <c r="I928" s="8"/>
      <c r="J928" s="8"/>
      <c r="K928" s="62"/>
      <c r="L928" s="1"/>
    </row>
    <row r="929" ht="15.6" spans="1:12">
      <c r="A929" s="6"/>
      <c r="B929" s="6"/>
      <c r="C929" s="60"/>
      <c r="D929" s="23"/>
      <c r="E929" s="61"/>
      <c r="F929" s="11"/>
      <c r="G929" s="11"/>
      <c r="H929" s="11"/>
      <c r="I929" s="8"/>
      <c r="J929" s="8"/>
      <c r="K929" s="62"/>
      <c r="L929" s="1"/>
    </row>
    <row r="930" ht="15.6" spans="1:12">
      <c r="A930" s="6"/>
      <c r="B930" s="6"/>
      <c r="C930" s="60"/>
      <c r="D930" s="23"/>
      <c r="E930" s="61"/>
      <c r="F930" s="11"/>
      <c r="G930" s="11"/>
      <c r="H930" s="11"/>
      <c r="I930" s="8"/>
      <c r="J930" s="8"/>
      <c r="K930" s="62"/>
      <c r="L930" s="1"/>
    </row>
    <row r="931" ht="15.6" spans="1:12">
      <c r="A931" s="6"/>
      <c r="B931" s="6"/>
      <c r="C931" s="60"/>
      <c r="D931" s="23"/>
      <c r="E931" s="61"/>
      <c r="F931" s="11"/>
      <c r="G931" s="11"/>
      <c r="H931" s="11"/>
      <c r="I931" s="8"/>
      <c r="J931" s="8"/>
      <c r="K931" s="62"/>
      <c r="L931" s="1"/>
    </row>
    <row r="932" ht="15.6" spans="1:12">
      <c r="A932" s="6"/>
      <c r="B932" s="6"/>
      <c r="C932" s="60"/>
      <c r="D932" s="23"/>
      <c r="E932" s="61"/>
      <c r="F932" s="11"/>
      <c r="G932" s="11"/>
      <c r="H932" s="11"/>
      <c r="I932" s="8"/>
      <c r="J932" s="8"/>
      <c r="K932" s="62"/>
      <c r="L932" s="1"/>
    </row>
    <row r="933" ht="15.6" spans="1:12">
      <c r="A933" s="6"/>
      <c r="B933" s="6"/>
      <c r="C933" s="60"/>
      <c r="D933" s="23"/>
      <c r="E933" s="61"/>
      <c r="F933" s="11"/>
      <c r="G933" s="11"/>
      <c r="H933" s="11"/>
      <c r="I933" s="8"/>
      <c r="J933" s="8"/>
      <c r="K933" s="62"/>
      <c r="L933" s="1"/>
    </row>
    <row r="934" ht="15.6" spans="1:12">
      <c r="A934" s="6"/>
      <c r="B934" s="6"/>
      <c r="C934" s="60"/>
      <c r="D934" s="23"/>
      <c r="E934" s="61"/>
      <c r="F934" s="11"/>
      <c r="G934" s="11"/>
      <c r="H934" s="11"/>
      <c r="I934" s="8"/>
      <c r="J934" s="8"/>
      <c r="K934" s="62"/>
      <c r="L934" s="1"/>
    </row>
    <row r="935" ht="15.6" spans="1:12">
      <c r="A935" s="6"/>
      <c r="B935" s="6"/>
      <c r="C935" s="60"/>
      <c r="D935" s="23"/>
      <c r="E935" s="61"/>
      <c r="F935" s="11"/>
      <c r="G935" s="11"/>
      <c r="H935" s="11"/>
      <c r="I935" s="8"/>
      <c r="J935" s="8"/>
      <c r="K935" s="62"/>
      <c r="L935" s="1"/>
    </row>
    <row r="936" ht="15.6" spans="1:12">
      <c r="A936" s="6"/>
      <c r="B936" s="6"/>
      <c r="C936" s="60"/>
      <c r="D936" s="23"/>
      <c r="E936" s="61"/>
      <c r="F936" s="11"/>
      <c r="G936" s="11"/>
      <c r="H936" s="11"/>
      <c r="I936" s="8"/>
      <c r="J936" s="8"/>
      <c r="K936" s="62"/>
      <c r="L936" s="1"/>
    </row>
    <row r="937" ht="15.6" spans="1:12">
      <c r="A937" s="6"/>
      <c r="B937" s="6"/>
      <c r="C937" s="60"/>
      <c r="D937" s="23"/>
      <c r="E937" s="61"/>
      <c r="F937" s="11"/>
      <c r="G937" s="11"/>
      <c r="H937" s="11"/>
      <c r="I937" s="8"/>
      <c r="J937" s="8"/>
      <c r="K937" s="62"/>
      <c r="L937" s="1"/>
    </row>
    <row r="938" ht="15.6" spans="1:12">
      <c r="A938" s="6"/>
      <c r="B938" s="6"/>
      <c r="C938" s="60"/>
      <c r="D938" s="23"/>
      <c r="E938" s="61"/>
      <c r="F938" s="11"/>
      <c r="G938" s="11"/>
      <c r="H938" s="11"/>
      <c r="I938" s="8"/>
      <c r="J938" s="8"/>
      <c r="K938" s="62"/>
      <c r="L938" s="1"/>
    </row>
    <row r="939" ht="15.6" spans="1:12">
      <c r="A939" s="6"/>
      <c r="B939" s="6"/>
      <c r="C939" s="60"/>
      <c r="D939" s="23"/>
      <c r="E939" s="61"/>
      <c r="F939" s="11"/>
      <c r="G939" s="11"/>
      <c r="H939" s="11"/>
      <c r="I939" s="8"/>
      <c r="J939" s="8"/>
      <c r="K939" s="62"/>
      <c r="L939" s="1"/>
    </row>
    <row r="940" ht="15.6" spans="1:12">
      <c r="A940" s="6"/>
      <c r="B940" s="6"/>
      <c r="C940" s="60"/>
      <c r="D940" s="23"/>
      <c r="E940" s="61"/>
      <c r="F940" s="11"/>
      <c r="G940" s="11"/>
      <c r="H940" s="11"/>
      <c r="I940" s="8"/>
      <c r="J940" s="8"/>
      <c r="K940" s="62"/>
      <c r="L940" s="1"/>
    </row>
    <row r="941" ht="15.6" spans="1:12">
      <c r="A941" s="6"/>
      <c r="B941" s="6"/>
      <c r="C941" s="60"/>
      <c r="D941" s="23"/>
      <c r="E941" s="61"/>
      <c r="F941" s="11"/>
      <c r="G941" s="11"/>
      <c r="H941" s="11"/>
      <c r="I941" s="8"/>
      <c r="J941" s="8"/>
      <c r="K941" s="62"/>
      <c r="L941" s="1"/>
    </row>
    <row r="942" ht="15.6" spans="1:12">
      <c r="A942" s="6"/>
      <c r="B942" s="6"/>
      <c r="C942" s="60"/>
      <c r="D942" s="23"/>
      <c r="E942" s="61"/>
      <c r="F942" s="11"/>
      <c r="G942" s="11"/>
      <c r="H942" s="11"/>
      <c r="I942" s="8"/>
      <c r="J942" s="8"/>
      <c r="K942" s="62"/>
      <c r="L942" s="1"/>
    </row>
    <row r="943" ht="15.6" spans="1:12">
      <c r="A943" s="6"/>
      <c r="B943" s="6"/>
      <c r="C943" s="60"/>
      <c r="D943" s="23"/>
      <c r="E943" s="61"/>
      <c r="F943" s="11"/>
      <c r="G943" s="11"/>
      <c r="H943" s="11"/>
      <c r="I943" s="8"/>
      <c r="J943" s="8"/>
      <c r="K943" s="62"/>
      <c r="L943" s="1"/>
    </row>
    <row r="944" ht="15.6" spans="1:12">
      <c r="A944" s="6"/>
      <c r="B944" s="6"/>
      <c r="C944" s="60"/>
      <c r="D944" s="23"/>
      <c r="E944" s="61"/>
      <c r="F944" s="11"/>
      <c r="G944" s="11"/>
      <c r="H944" s="11"/>
      <c r="I944" s="8"/>
      <c r="J944" s="8"/>
      <c r="K944" s="62"/>
      <c r="L944" s="1"/>
    </row>
    <row r="945" ht="15.6" spans="1:12">
      <c r="A945" s="6"/>
      <c r="B945" s="6"/>
      <c r="C945" s="60"/>
      <c r="D945" s="23"/>
      <c r="E945" s="61"/>
      <c r="F945" s="11"/>
      <c r="G945" s="11"/>
      <c r="H945" s="11"/>
      <c r="I945" s="8"/>
      <c r="J945" s="8"/>
      <c r="K945" s="62"/>
      <c r="L945" s="1"/>
    </row>
    <row r="946" ht="15.6" spans="1:12">
      <c r="A946" s="6"/>
      <c r="B946" s="6"/>
      <c r="C946" s="60"/>
      <c r="D946" s="23"/>
      <c r="E946" s="61"/>
      <c r="F946" s="11"/>
      <c r="G946" s="11"/>
      <c r="H946" s="11"/>
      <c r="I946" s="8"/>
      <c r="J946" s="8"/>
      <c r="K946" s="62"/>
      <c r="L946" s="1"/>
    </row>
    <row r="947" ht="15.6" spans="1:12">
      <c r="A947" s="6"/>
      <c r="B947" s="6"/>
      <c r="C947" s="60"/>
      <c r="D947" s="23"/>
      <c r="E947" s="61"/>
      <c r="F947" s="11"/>
      <c r="G947" s="11"/>
      <c r="H947" s="11"/>
      <c r="I947" s="8"/>
      <c r="J947" s="8"/>
      <c r="K947" s="62"/>
      <c r="L947" s="1"/>
    </row>
    <row r="948" ht="15.6" spans="1:12">
      <c r="A948" s="6"/>
      <c r="B948" s="6"/>
      <c r="C948" s="60"/>
      <c r="D948" s="23"/>
      <c r="E948" s="61"/>
      <c r="F948" s="11"/>
      <c r="G948" s="11"/>
      <c r="H948" s="11"/>
      <c r="I948" s="8"/>
      <c r="J948" s="8"/>
      <c r="K948" s="62"/>
      <c r="L948" s="1"/>
    </row>
    <row r="949" ht="15.6" spans="1:12">
      <c r="A949" s="6"/>
      <c r="B949" s="6"/>
      <c r="C949" s="60"/>
      <c r="D949" s="23"/>
      <c r="E949" s="61"/>
      <c r="F949" s="11"/>
      <c r="G949" s="11"/>
      <c r="H949" s="11"/>
      <c r="I949" s="8"/>
      <c r="J949" s="8"/>
      <c r="K949" s="62"/>
      <c r="L949" s="1"/>
    </row>
    <row r="950" ht="15.6" spans="1:12">
      <c r="A950" s="6"/>
      <c r="B950" s="6"/>
      <c r="C950" s="60"/>
      <c r="D950" s="23"/>
      <c r="E950" s="61"/>
      <c r="F950" s="11"/>
      <c r="G950" s="11"/>
      <c r="H950" s="11"/>
      <c r="I950" s="8"/>
      <c r="J950" s="8"/>
      <c r="K950" s="62"/>
      <c r="L950" s="1"/>
    </row>
    <row r="951" ht="15.6" spans="1:12">
      <c r="A951" s="6"/>
      <c r="B951" s="6"/>
      <c r="C951" s="60"/>
      <c r="D951" s="23"/>
      <c r="E951" s="61"/>
      <c r="F951" s="11"/>
      <c r="G951" s="11"/>
      <c r="H951" s="11"/>
      <c r="I951" s="8"/>
      <c r="J951" s="8"/>
      <c r="K951" s="62"/>
      <c r="L951" s="1"/>
    </row>
    <row r="952" ht="15.6" spans="1:12">
      <c r="A952" s="6"/>
      <c r="B952" s="6"/>
      <c r="C952" s="60"/>
      <c r="D952" s="23"/>
      <c r="E952" s="61"/>
      <c r="F952" s="11"/>
      <c r="G952" s="11"/>
      <c r="H952" s="11"/>
      <c r="I952" s="8"/>
      <c r="J952" s="8"/>
      <c r="K952" s="62"/>
      <c r="L952" s="1"/>
    </row>
    <row r="953" ht="15.6" spans="1:12">
      <c r="A953" s="6"/>
      <c r="B953" s="6"/>
      <c r="C953" s="60"/>
      <c r="D953" s="23"/>
      <c r="E953" s="61"/>
      <c r="F953" s="11"/>
      <c r="G953" s="11"/>
      <c r="H953" s="11"/>
      <c r="I953" s="8"/>
      <c r="J953" s="8"/>
      <c r="K953" s="62"/>
      <c r="L953" s="1"/>
    </row>
    <row r="954" ht="15.6" spans="1:12">
      <c r="A954" s="6"/>
      <c r="B954" s="6"/>
      <c r="C954" s="60"/>
      <c r="D954" s="23"/>
      <c r="E954" s="61"/>
      <c r="F954" s="11"/>
      <c r="G954" s="11"/>
      <c r="H954" s="11"/>
      <c r="I954" s="8"/>
      <c r="J954" s="8"/>
      <c r="K954" s="62"/>
      <c r="L954" s="1"/>
    </row>
    <row r="955" ht="15.6" spans="1:12">
      <c r="A955" s="6"/>
      <c r="B955" s="6"/>
      <c r="C955" s="60"/>
      <c r="D955" s="23"/>
      <c r="E955" s="61"/>
      <c r="F955" s="11"/>
      <c r="G955" s="11"/>
      <c r="H955" s="11"/>
      <c r="I955" s="8"/>
      <c r="J955" s="8"/>
      <c r="K955" s="62"/>
      <c r="L955" s="1"/>
    </row>
    <row r="956" ht="15.6" spans="1:12">
      <c r="A956" s="6"/>
      <c r="B956" s="6"/>
      <c r="C956" s="60"/>
      <c r="D956" s="23"/>
      <c r="E956" s="61"/>
      <c r="F956" s="11"/>
      <c r="G956" s="11"/>
      <c r="H956" s="11"/>
      <c r="I956" s="8"/>
      <c r="J956" s="8"/>
      <c r="K956" s="62"/>
      <c r="L956" s="1"/>
    </row>
    <row r="957" ht="15.6" spans="1:12">
      <c r="A957" s="6"/>
      <c r="B957" s="6"/>
      <c r="C957" s="60"/>
      <c r="D957" s="23"/>
      <c r="E957" s="61"/>
      <c r="F957" s="11"/>
      <c r="G957" s="11"/>
      <c r="H957" s="11"/>
      <c r="I957" s="8"/>
      <c r="J957" s="8"/>
      <c r="K957" s="62"/>
      <c r="L957" s="1"/>
    </row>
    <row r="958" ht="15.6" spans="1:12">
      <c r="A958" s="6"/>
      <c r="B958" s="6"/>
      <c r="C958" s="60"/>
      <c r="D958" s="23"/>
      <c r="E958" s="61"/>
      <c r="F958" s="11"/>
      <c r="G958" s="11"/>
      <c r="H958" s="11"/>
      <c r="I958" s="8"/>
      <c r="J958" s="8"/>
      <c r="K958" s="62"/>
      <c r="L958" s="1"/>
    </row>
    <row r="959" ht="15.6" spans="1:12">
      <c r="A959" s="6"/>
      <c r="B959" s="6"/>
      <c r="C959" s="60"/>
      <c r="D959" s="23"/>
      <c r="E959" s="61"/>
      <c r="F959" s="11"/>
      <c r="G959" s="11"/>
      <c r="H959" s="11"/>
      <c r="I959" s="8"/>
      <c r="J959" s="8"/>
      <c r="K959" s="62"/>
      <c r="L959" s="1"/>
    </row>
    <row r="960" ht="15.6" spans="1:12">
      <c r="A960" s="6"/>
      <c r="B960" s="6"/>
      <c r="C960" s="60"/>
      <c r="D960" s="23"/>
      <c r="E960" s="61"/>
      <c r="F960" s="11"/>
      <c r="G960" s="11"/>
      <c r="H960" s="11"/>
      <c r="I960" s="8"/>
      <c r="J960" s="8"/>
      <c r="K960" s="62"/>
      <c r="L960" s="1"/>
    </row>
    <row r="961" ht="15.6" spans="1:12">
      <c r="A961" s="6"/>
      <c r="B961" s="6"/>
      <c r="C961" s="60"/>
      <c r="D961" s="23"/>
      <c r="E961" s="61"/>
      <c r="F961" s="11"/>
      <c r="G961" s="11"/>
      <c r="H961" s="11"/>
      <c r="I961" s="8"/>
      <c r="J961" s="8"/>
      <c r="K961" s="62"/>
      <c r="L961" s="1"/>
    </row>
    <row r="962" ht="15.6" spans="1:12">
      <c r="A962" s="6"/>
      <c r="B962" s="6"/>
      <c r="C962" s="60"/>
      <c r="D962" s="23"/>
      <c r="E962" s="61"/>
      <c r="F962" s="11"/>
      <c r="G962" s="11"/>
      <c r="H962" s="11"/>
      <c r="I962" s="8"/>
      <c r="J962" s="8"/>
      <c r="K962" s="62"/>
      <c r="L962" s="1"/>
    </row>
    <row r="963" ht="15.6" spans="1:12">
      <c r="A963" s="6"/>
      <c r="B963" s="6"/>
      <c r="C963" s="60"/>
      <c r="D963" s="23"/>
      <c r="E963" s="61"/>
      <c r="F963" s="11"/>
      <c r="G963" s="11"/>
      <c r="H963" s="11"/>
      <c r="I963" s="8"/>
      <c r="J963" s="8"/>
      <c r="K963" s="62"/>
      <c r="L963" s="1"/>
    </row>
    <row r="964" ht="15.6" spans="1:12">
      <c r="A964" s="6"/>
      <c r="B964" s="6"/>
      <c r="C964" s="60"/>
      <c r="D964" s="23"/>
      <c r="E964" s="61"/>
      <c r="F964" s="11"/>
      <c r="G964" s="11"/>
      <c r="H964" s="11"/>
      <c r="I964" s="8"/>
      <c r="J964" s="8"/>
      <c r="K964" s="62"/>
      <c r="L964" s="1"/>
    </row>
    <row r="965" ht="15.6" spans="1:12">
      <c r="A965" s="6"/>
      <c r="B965" s="6"/>
      <c r="C965" s="3"/>
      <c r="D965" s="2"/>
      <c r="E965" s="63"/>
      <c r="F965" s="64"/>
      <c r="G965" s="64"/>
      <c r="H965" s="64"/>
      <c r="I965" s="8"/>
      <c r="J965" s="8"/>
      <c r="K965" s="62"/>
      <c r="L965" s="1"/>
    </row>
    <row r="966" ht="15.6" spans="1:12">
      <c r="A966" s="6"/>
      <c r="B966" s="6"/>
      <c r="C966" s="3"/>
      <c r="D966" s="2"/>
      <c r="E966" s="63"/>
      <c r="F966" s="64"/>
      <c r="G966" s="64"/>
      <c r="H966" s="64"/>
      <c r="I966" s="8"/>
      <c r="J966" s="8"/>
      <c r="K966" s="62"/>
      <c r="L966" s="1"/>
    </row>
    <row r="967" ht="15.6" spans="1:12">
      <c r="A967" s="6"/>
      <c r="B967" s="6"/>
      <c r="C967" s="3"/>
      <c r="D967" s="2"/>
      <c r="E967" s="63"/>
      <c r="F967" s="64"/>
      <c r="G967" s="64"/>
      <c r="H967" s="64"/>
      <c r="I967" s="8"/>
      <c r="J967" s="8"/>
      <c r="K967" s="62"/>
      <c r="L967" s="1"/>
    </row>
    <row r="968" ht="15.6" spans="1:12">
      <c r="A968" s="6"/>
      <c r="B968" s="6"/>
      <c r="C968" s="3"/>
      <c r="D968" s="2"/>
      <c r="E968" s="63"/>
      <c r="F968" s="64"/>
      <c r="G968" s="64"/>
      <c r="H968" s="64"/>
      <c r="I968" s="8"/>
      <c r="J968" s="8"/>
      <c r="K968" s="62"/>
      <c r="L968" s="1"/>
    </row>
    <row r="969" ht="15.6" spans="1:12">
      <c r="A969" s="6"/>
      <c r="B969" s="6"/>
      <c r="C969" s="3"/>
      <c r="D969" s="2"/>
      <c r="E969" s="63"/>
      <c r="F969" s="64"/>
      <c r="G969" s="64"/>
      <c r="H969" s="64"/>
      <c r="I969" s="8"/>
      <c r="J969" s="8"/>
      <c r="K969" s="62"/>
      <c r="L969" s="1"/>
    </row>
    <row r="970" ht="15.6" spans="1:12">
      <c r="A970" s="6"/>
      <c r="B970" s="6"/>
      <c r="C970" s="3"/>
      <c r="D970" s="2"/>
      <c r="E970" s="63"/>
      <c r="F970" s="64"/>
      <c r="G970" s="64"/>
      <c r="H970" s="64"/>
      <c r="I970" s="8"/>
      <c r="J970" s="8"/>
      <c r="K970" s="62"/>
      <c r="L970" s="1"/>
    </row>
    <row r="971" ht="15.6" spans="1:12">
      <c r="A971" s="6"/>
      <c r="B971" s="6"/>
      <c r="C971" s="3"/>
      <c r="D971" s="2"/>
      <c r="E971" s="63"/>
      <c r="F971" s="64"/>
      <c r="G971" s="64"/>
      <c r="H971" s="64"/>
      <c r="I971" s="8"/>
      <c r="J971" s="8"/>
      <c r="K971" s="62"/>
      <c r="L971" s="1"/>
    </row>
    <row r="972" ht="15.6" spans="1:12">
      <c r="A972" s="6"/>
      <c r="B972" s="6"/>
      <c r="C972" s="3"/>
      <c r="D972" s="2"/>
      <c r="E972" s="63"/>
      <c r="F972" s="64"/>
      <c r="G972" s="64"/>
      <c r="H972" s="64"/>
      <c r="I972" s="8"/>
      <c r="J972" s="8"/>
      <c r="K972" s="62"/>
      <c r="L972" s="1"/>
    </row>
    <row r="973" ht="15.6" spans="1:12">
      <c r="A973" s="6"/>
      <c r="B973" s="6"/>
      <c r="C973" s="3"/>
      <c r="D973" s="2"/>
      <c r="E973" s="63"/>
      <c r="F973" s="64"/>
      <c r="G973" s="64"/>
      <c r="H973" s="64"/>
      <c r="I973" s="8"/>
      <c r="J973" s="8"/>
      <c r="K973" s="62"/>
      <c r="L973" s="1"/>
    </row>
    <row r="974" ht="15.6" spans="1:12">
      <c r="A974" s="6"/>
      <c r="B974" s="6"/>
      <c r="C974" s="3"/>
      <c r="D974" s="2"/>
      <c r="E974" s="63"/>
      <c r="F974" s="64"/>
      <c r="G974" s="64"/>
      <c r="H974" s="64"/>
      <c r="I974" s="8"/>
      <c r="J974" s="8"/>
      <c r="K974" s="62"/>
      <c r="L974" s="1"/>
    </row>
    <row r="975" ht="15.6" spans="1:12">
      <c r="A975" s="6"/>
      <c r="B975" s="6"/>
      <c r="C975" s="3"/>
      <c r="D975" s="2"/>
      <c r="E975" s="63"/>
      <c r="F975" s="64"/>
      <c r="G975" s="64"/>
      <c r="H975" s="64"/>
      <c r="I975" s="8"/>
      <c r="J975" s="8"/>
      <c r="K975" s="62"/>
      <c r="L975" s="1"/>
    </row>
    <row r="976" ht="15.6" spans="1:12">
      <c r="A976" s="6"/>
      <c r="B976" s="6"/>
      <c r="C976" s="3"/>
      <c r="D976" s="2"/>
      <c r="E976" s="63"/>
      <c r="F976" s="64"/>
      <c r="G976" s="64"/>
      <c r="H976" s="64"/>
      <c r="I976" s="8"/>
      <c r="J976" s="8"/>
      <c r="K976" s="62"/>
      <c r="L976" s="1"/>
    </row>
    <row r="977" ht="15.6" spans="1:12">
      <c r="A977" s="6"/>
      <c r="B977" s="6"/>
      <c r="C977" s="3"/>
      <c r="D977" s="2"/>
      <c r="E977" s="63"/>
      <c r="F977" s="64"/>
      <c r="G977" s="64"/>
      <c r="H977" s="64"/>
      <c r="I977" s="8"/>
      <c r="J977" s="8"/>
      <c r="K977" s="62"/>
      <c r="L977" s="1"/>
    </row>
    <row r="978" ht="15.6" spans="1:12">
      <c r="A978" s="6"/>
      <c r="B978" s="6"/>
      <c r="C978" s="3"/>
      <c r="D978" s="2"/>
      <c r="E978" s="63"/>
      <c r="F978" s="64"/>
      <c r="G978" s="64"/>
      <c r="H978" s="64"/>
      <c r="I978" s="8"/>
      <c r="J978" s="8"/>
      <c r="K978" s="62"/>
      <c r="L978" s="1"/>
    </row>
    <row r="979" ht="15.6" spans="1:12">
      <c r="A979" s="6"/>
      <c r="B979" s="6"/>
      <c r="C979" s="3"/>
      <c r="D979" s="2"/>
      <c r="E979" s="63"/>
      <c r="F979" s="64"/>
      <c r="G979" s="64"/>
      <c r="H979" s="64"/>
      <c r="I979" s="8"/>
      <c r="J979" s="8"/>
      <c r="K979" s="62"/>
      <c r="L979" s="1"/>
    </row>
    <row r="980" ht="15.6" spans="1:12">
      <c r="A980" s="6"/>
      <c r="B980" s="6"/>
      <c r="C980" s="3"/>
      <c r="D980" s="2"/>
      <c r="E980" s="63"/>
      <c r="F980" s="64"/>
      <c r="G980" s="64"/>
      <c r="H980" s="64"/>
      <c r="I980" s="8"/>
      <c r="J980" s="8"/>
      <c r="K980" s="62"/>
      <c r="L980" s="1"/>
    </row>
    <row r="981" ht="15.6" spans="1:12">
      <c r="A981" s="6"/>
      <c r="B981" s="6"/>
      <c r="C981" s="3"/>
      <c r="D981" s="2"/>
      <c r="E981" s="63"/>
      <c r="F981" s="64"/>
      <c r="G981" s="64"/>
      <c r="H981" s="64"/>
      <c r="I981" s="8"/>
      <c r="J981" s="8"/>
      <c r="K981" s="62"/>
      <c r="L981" s="1"/>
    </row>
    <row r="982" ht="15.6" spans="1:12">
      <c r="A982" s="6"/>
      <c r="B982" s="6"/>
      <c r="C982" s="3"/>
      <c r="D982" s="2"/>
      <c r="E982" s="63"/>
      <c r="F982" s="64"/>
      <c r="G982" s="64"/>
      <c r="H982" s="64"/>
      <c r="I982" s="8"/>
      <c r="J982" s="8"/>
      <c r="K982" s="62"/>
      <c r="L982" s="1"/>
    </row>
    <row r="983" ht="15.6" spans="1:12">
      <c r="A983" s="6"/>
      <c r="B983" s="6"/>
      <c r="C983" s="3"/>
      <c r="D983" s="2"/>
      <c r="E983" s="63"/>
      <c r="F983" s="64"/>
      <c r="G983" s="64"/>
      <c r="H983" s="64"/>
      <c r="I983" s="8"/>
      <c r="J983" s="8"/>
      <c r="K983" s="62"/>
      <c r="L983" s="1"/>
    </row>
    <row r="984" ht="15.6" spans="1:12">
      <c r="A984" s="6"/>
      <c r="B984" s="6"/>
      <c r="C984" s="3"/>
      <c r="D984" s="2"/>
      <c r="E984" s="63"/>
      <c r="F984" s="64"/>
      <c r="G984" s="64"/>
      <c r="H984" s="64"/>
      <c r="I984" s="8"/>
      <c r="J984" s="8"/>
      <c r="K984" s="62"/>
      <c r="L984" s="1"/>
    </row>
    <row r="985" ht="15.6" spans="1:12">
      <c r="A985" s="6"/>
      <c r="B985" s="6"/>
      <c r="C985" s="3"/>
      <c r="D985" s="2"/>
      <c r="E985" s="63"/>
      <c r="F985" s="64"/>
      <c r="G985" s="64"/>
      <c r="H985" s="64"/>
      <c r="I985" s="8"/>
      <c r="J985" s="8"/>
      <c r="K985" s="62"/>
      <c r="L985" s="1"/>
    </row>
    <row r="986" ht="15.6" spans="1:12">
      <c r="A986" s="6"/>
      <c r="B986" s="6"/>
      <c r="C986" s="3"/>
      <c r="D986" s="2"/>
      <c r="E986" s="63"/>
      <c r="F986" s="64"/>
      <c r="G986" s="64"/>
      <c r="H986" s="64"/>
      <c r="I986" s="8"/>
      <c r="J986" s="8"/>
      <c r="K986" s="62"/>
      <c r="L986" s="1"/>
    </row>
    <row r="987" ht="15.6" spans="1:12">
      <c r="A987" s="6"/>
      <c r="B987" s="6"/>
      <c r="C987" s="3"/>
      <c r="D987" s="2"/>
      <c r="E987" s="63"/>
      <c r="F987" s="64"/>
      <c r="G987" s="64"/>
      <c r="H987" s="64"/>
      <c r="I987" s="8"/>
      <c r="J987" s="8"/>
      <c r="K987" s="62"/>
      <c r="L987" s="1"/>
    </row>
    <row r="988" ht="15.6" spans="1:12">
      <c r="A988" s="6"/>
      <c r="B988" s="6"/>
      <c r="C988" s="3"/>
      <c r="D988" s="2"/>
      <c r="E988" s="63"/>
      <c r="F988" s="64"/>
      <c r="G988" s="64"/>
      <c r="H988" s="64"/>
      <c r="I988" s="8"/>
      <c r="J988" s="8"/>
      <c r="K988" s="62"/>
      <c r="L988" s="1"/>
    </row>
    <row r="989" ht="15.6" spans="1:12">
      <c r="A989" s="6"/>
      <c r="B989" s="6"/>
      <c r="C989" s="3"/>
      <c r="D989" s="2"/>
      <c r="E989" s="63"/>
      <c r="F989" s="64"/>
      <c r="G989" s="64"/>
      <c r="H989" s="64"/>
      <c r="I989" s="8"/>
      <c r="J989" s="8"/>
      <c r="K989" s="62"/>
      <c r="L989" s="1"/>
    </row>
    <row r="990" ht="15.6" spans="1:12">
      <c r="A990" s="6"/>
      <c r="B990" s="6"/>
      <c r="C990" s="3"/>
      <c r="D990" s="2"/>
      <c r="E990" s="63"/>
      <c r="F990" s="64"/>
      <c r="G990" s="64"/>
      <c r="H990" s="64"/>
      <c r="I990" s="8"/>
      <c r="J990" s="8"/>
      <c r="K990" s="62"/>
      <c r="L990" s="1"/>
    </row>
    <row r="991" ht="15.6" spans="1:12">
      <c r="A991" s="6"/>
      <c r="B991" s="6"/>
      <c r="C991" s="3"/>
      <c r="D991" s="2"/>
      <c r="E991" s="63"/>
      <c r="F991" s="64"/>
      <c r="G991" s="64"/>
      <c r="H991" s="64"/>
      <c r="I991" s="8"/>
      <c r="J991" s="8"/>
      <c r="K991" s="62"/>
      <c r="L991" s="1"/>
    </row>
    <row r="992" ht="15.6" spans="1:12">
      <c r="A992" s="6"/>
      <c r="B992" s="6"/>
      <c r="C992" s="3"/>
      <c r="D992" s="2"/>
      <c r="E992" s="63"/>
      <c r="F992" s="64"/>
      <c r="G992" s="64"/>
      <c r="H992" s="64"/>
      <c r="I992" s="8"/>
      <c r="J992" s="8"/>
      <c r="K992" s="62"/>
      <c r="L992" s="1"/>
    </row>
    <row r="993" ht="15.6" spans="1:12">
      <c r="A993" s="6"/>
      <c r="B993" s="6"/>
      <c r="C993" s="3"/>
      <c r="D993" s="2"/>
      <c r="E993" s="63"/>
      <c r="F993" s="64"/>
      <c r="G993" s="64"/>
      <c r="H993" s="64"/>
      <c r="I993" s="8"/>
      <c r="J993" s="8"/>
      <c r="K993" s="62"/>
      <c r="L993" s="1"/>
    </row>
    <row r="994" ht="15.6" spans="1:12">
      <c r="A994" s="6"/>
      <c r="B994" s="6"/>
      <c r="C994" s="3"/>
      <c r="D994" s="2"/>
      <c r="E994" s="63"/>
      <c r="F994" s="64"/>
      <c r="G994" s="64"/>
      <c r="H994" s="64"/>
      <c r="I994" s="8"/>
      <c r="J994" s="8"/>
      <c r="K994" s="62"/>
      <c r="L994" s="1"/>
    </row>
    <row r="995" ht="15.6" spans="1:12">
      <c r="A995" s="6"/>
      <c r="B995" s="6"/>
      <c r="C995" s="3"/>
      <c r="D995" s="2"/>
      <c r="E995" s="63"/>
      <c r="F995" s="64"/>
      <c r="G995" s="64"/>
      <c r="H995" s="64"/>
      <c r="I995" s="8"/>
      <c r="J995" s="8"/>
      <c r="K995" s="62"/>
      <c r="L995" s="1"/>
    </row>
    <row r="996" ht="15.6" spans="1:12">
      <c r="A996" s="6"/>
      <c r="B996" s="6"/>
      <c r="C996" s="3"/>
      <c r="D996" s="2"/>
      <c r="E996" s="63"/>
      <c r="F996" s="64"/>
      <c r="G996" s="64"/>
      <c r="H996" s="64"/>
      <c r="I996" s="8"/>
      <c r="J996" s="8"/>
      <c r="K996" s="62"/>
      <c r="L996" s="1"/>
    </row>
    <row r="997" ht="15.6" spans="1:12">
      <c r="A997" s="6"/>
      <c r="B997" s="6"/>
      <c r="C997" s="3"/>
      <c r="D997" s="2"/>
      <c r="E997" s="63"/>
      <c r="F997" s="64"/>
      <c r="G997" s="64"/>
      <c r="H997" s="64"/>
      <c r="I997" s="8"/>
      <c r="J997" s="8"/>
      <c r="K997" s="62"/>
      <c r="L997" s="1"/>
    </row>
    <row r="998" ht="15.6" spans="1:12">
      <c r="A998" s="6"/>
      <c r="B998" s="6"/>
      <c r="C998" s="3"/>
      <c r="D998" s="2"/>
      <c r="E998" s="63"/>
      <c r="F998" s="64"/>
      <c r="G998" s="64"/>
      <c r="H998" s="64"/>
      <c r="I998" s="8"/>
      <c r="J998" s="8"/>
      <c r="K998" s="62"/>
      <c r="L998" s="1"/>
    </row>
    <row r="999" ht="15.6" spans="1:12">
      <c r="A999" s="6"/>
      <c r="B999" s="6"/>
      <c r="C999" s="3"/>
      <c r="D999" s="2"/>
      <c r="E999" s="63"/>
      <c r="F999" s="64"/>
      <c r="G999" s="64"/>
      <c r="H999" s="64"/>
      <c r="I999" s="8"/>
      <c r="J999" s="8"/>
      <c r="K999" s="62"/>
      <c r="L999" s="1"/>
    </row>
    <row r="1000" ht="15.6" spans="1:12">
      <c r="A1000" s="6"/>
      <c r="B1000" s="6"/>
      <c r="C1000" s="3"/>
      <c r="D1000" s="2"/>
      <c r="E1000" s="63"/>
      <c r="F1000" s="64"/>
      <c r="G1000" s="64"/>
      <c r="H1000" s="64"/>
      <c r="I1000" s="8"/>
      <c r="J1000" s="8"/>
      <c r="K1000" s="62"/>
      <c r="L1000" s="1"/>
    </row>
    <row r="1001" ht="15.6" spans="1:12">
      <c r="A1001" s="6"/>
      <c r="B1001" s="6"/>
      <c r="C1001" s="3"/>
      <c r="D1001" s="2"/>
      <c r="E1001" s="63"/>
      <c r="F1001" s="64"/>
      <c r="G1001" s="64"/>
      <c r="H1001" s="64"/>
      <c r="I1001" s="8"/>
      <c r="J1001" s="8"/>
      <c r="K1001" s="62"/>
      <c r="L1001" s="1"/>
    </row>
    <row r="1002" ht="15.6" spans="1:12">
      <c r="A1002" s="6"/>
      <c r="B1002" s="6"/>
      <c r="C1002" s="3"/>
      <c r="D1002" s="2"/>
      <c r="E1002" s="63"/>
      <c r="F1002" s="64"/>
      <c r="G1002" s="64"/>
      <c r="H1002" s="64"/>
      <c r="I1002" s="8"/>
      <c r="J1002" s="8"/>
      <c r="K1002" s="62"/>
      <c r="L1002" s="1"/>
    </row>
    <row r="1003" ht="15.6" spans="1:12">
      <c r="A1003" s="6"/>
      <c r="B1003" s="6"/>
      <c r="C1003" s="3"/>
      <c r="D1003" s="2"/>
      <c r="E1003" s="63"/>
      <c r="F1003" s="64"/>
      <c r="G1003" s="64"/>
      <c r="H1003" s="64"/>
      <c r="I1003" s="8"/>
      <c r="J1003" s="8"/>
      <c r="K1003" s="62"/>
      <c r="L1003" s="1"/>
    </row>
    <row r="1004" ht="15.6" spans="1:12">
      <c r="A1004" s="6"/>
      <c r="B1004" s="6"/>
      <c r="C1004" s="3"/>
      <c r="D1004" s="2"/>
      <c r="E1004" s="63"/>
      <c r="F1004" s="64"/>
      <c r="G1004" s="64"/>
      <c r="H1004" s="64"/>
      <c r="I1004" s="8"/>
      <c r="J1004" s="8"/>
      <c r="K1004" s="62"/>
      <c r="L1004" s="1"/>
    </row>
    <row r="1005" ht="15.6" spans="1:12">
      <c r="A1005" s="6"/>
      <c r="B1005" s="6"/>
      <c r="C1005" s="3"/>
      <c r="D1005" s="2"/>
      <c r="E1005" s="63"/>
      <c r="F1005" s="64"/>
      <c r="G1005" s="64"/>
      <c r="H1005" s="64"/>
      <c r="I1005" s="8"/>
      <c r="J1005" s="8"/>
      <c r="K1005" s="62"/>
      <c r="L1005" s="1"/>
    </row>
    <row r="1006" ht="15.6" spans="1:12">
      <c r="A1006" s="6"/>
      <c r="B1006" s="6"/>
      <c r="C1006" s="3"/>
      <c r="D1006" s="2"/>
      <c r="E1006" s="63"/>
      <c r="F1006" s="64"/>
      <c r="G1006" s="64"/>
      <c r="H1006" s="64"/>
      <c r="I1006" s="8"/>
      <c r="J1006" s="8"/>
      <c r="K1006" s="62"/>
      <c r="L1006" s="1"/>
    </row>
    <row r="1007" ht="15.6" spans="1:12">
      <c r="A1007" s="6"/>
      <c r="B1007" s="6"/>
      <c r="C1007" s="3"/>
      <c r="D1007" s="2"/>
      <c r="E1007" s="63"/>
      <c r="F1007" s="64"/>
      <c r="G1007" s="64"/>
      <c r="H1007" s="64"/>
      <c r="I1007" s="8"/>
      <c r="J1007" s="8"/>
      <c r="K1007" s="62"/>
      <c r="L1007" s="1"/>
    </row>
    <row r="1008" ht="15.6" spans="1:12">
      <c r="A1008" s="6"/>
      <c r="B1008" s="6"/>
      <c r="C1008" s="3"/>
      <c r="D1008" s="2"/>
      <c r="E1008" s="63"/>
      <c r="F1008" s="64"/>
      <c r="G1008" s="64"/>
      <c r="H1008" s="64"/>
      <c r="I1008" s="8"/>
      <c r="J1008" s="8"/>
      <c r="K1008" s="62"/>
      <c r="L1008" s="1"/>
    </row>
    <row r="1009" ht="15.6" spans="1:12">
      <c r="A1009" s="6"/>
      <c r="B1009" s="6"/>
      <c r="C1009" s="3"/>
      <c r="D1009" s="2"/>
      <c r="E1009" s="63"/>
      <c r="F1009" s="64"/>
      <c r="G1009" s="64"/>
      <c r="H1009" s="64"/>
      <c r="I1009" s="8"/>
      <c r="J1009" s="8"/>
      <c r="K1009" s="62"/>
      <c r="L1009" s="1"/>
    </row>
    <row r="1010" ht="15.6" spans="1:12">
      <c r="A1010" s="6"/>
      <c r="B1010" s="6"/>
      <c r="C1010" s="3"/>
      <c r="D1010" s="2"/>
      <c r="E1010" s="63"/>
      <c r="F1010" s="64"/>
      <c r="G1010" s="64"/>
      <c r="H1010" s="64"/>
      <c r="I1010" s="8"/>
      <c r="J1010" s="8"/>
      <c r="K1010" s="62"/>
      <c r="L1010" s="1"/>
    </row>
    <row r="1011" ht="15.6" spans="1:12">
      <c r="A1011" s="6"/>
      <c r="B1011" s="6"/>
      <c r="C1011" s="3"/>
      <c r="D1011" s="2"/>
      <c r="E1011" s="63"/>
      <c r="F1011" s="64"/>
      <c r="G1011" s="64"/>
      <c r="H1011" s="64"/>
      <c r="I1011" s="8"/>
      <c r="J1011" s="8"/>
      <c r="K1011" s="62"/>
      <c r="L1011" s="1"/>
    </row>
    <row r="1012" ht="15.6" spans="1:12">
      <c r="A1012" s="6"/>
      <c r="B1012" s="6"/>
      <c r="C1012" s="3"/>
      <c r="D1012" s="2"/>
      <c r="E1012" s="63"/>
      <c r="F1012" s="64"/>
      <c r="G1012" s="64"/>
      <c r="H1012" s="64"/>
      <c r="I1012" s="8"/>
      <c r="J1012" s="8"/>
      <c r="K1012" s="62"/>
      <c r="L1012" s="1"/>
    </row>
    <row r="1013" ht="15.6" spans="1:12">
      <c r="A1013" s="6"/>
      <c r="B1013" s="6"/>
      <c r="C1013" s="3"/>
      <c r="D1013" s="2"/>
      <c r="E1013" s="63"/>
      <c r="F1013" s="64"/>
      <c r="G1013" s="64"/>
      <c r="H1013" s="64"/>
      <c r="I1013" s="8"/>
      <c r="J1013" s="8"/>
      <c r="K1013" s="62"/>
      <c r="L1013" s="1"/>
    </row>
    <row r="1014" ht="15.6" spans="1:12">
      <c r="A1014" s="6"/>
      <c r="B1014" s="6"/>
      <c r="C1014" s="3"/>
      <c r="D1014" s="2"/>
      <c r="E1014" s="63"/>
      <c r="F1014" s="64"/>
      <c r="G1014" s="64"/>
      <c r="H1014" s="64"/>
      <c r="I1014" s="8"/>
      <c r="J1014" s="8"/>
      <c r="K1014" s="62"/>
      <c r="L1014" s="1"/>
    </row>
    <row r="1015" ht="15.6" spans="1:12">
      <c r="A1015" s="6"/>
      <c r="B1015" s="6"/>
      <c r="C1015" s="3"/>
      <c r="D1015" s="2"/>
      <c r="E1015" s="63"/>
      <c r="F1015" s="64"/>
      <c r="G1015" s="64"/>
      <c r="H1015" s="64"/>
      <c r="I1015" s="8"/>
      <c r="J1015" s="8"/>
      <c r="K1015" s="62"/>
      <c r="L1015" s="1"/>
    </row>
    <row r="1016" ht="15.6" spans="1:12">
      <c r="A1016" s="6"/>
      <c r="B1016" s="6"/>
      <c r="C1016" s="3"/>
      <c r="D1016" s="2"/>
      <c r="E1016" s="63"/>
      <c r="F1016" s="64"/>
      <c r="G1016" s="64"/>
      <c r="H1016" s="64"/>
      <c r="I1016" s="8"/>
      <c r="J1016" s="8"/>
      <c r="K1016" s="62"/>
      <c r="L1016" s="1"/>
    </row>
    <row r="1017" ht="15.6" spans="1:12">
      <c r="A1017" s="6"/>
      <c r="B1017" s="6"/>
      <c r="C1017" s="3"/>
      <c r="D1017" s="2"/>
      <c r="E1017" s="63"/>
      <c r="F1017" s="64"/>
      <c r="G1017" s="64"/>
      <c r="H1017" s="64"/>
      <c r="I1017" s="8"/>
      <c r="J1017" s="8"/>
      <c r="K1017" s="62"/>
      <c r="L1017" s="1"/>
    </row>
    <row r="1018" ht="15.6" spans="1:12">
      <c r="A1018" s="6"/>
      <c r="B1018" s="6"/>
      <c r="C1018" s="3"/>
      <c r="D1018" s="2"/>
      <c r="E1018" s="63"/>
      <c r="F1018" s="64"/>
      <c r="G1018" s="64"/>
      <c r="H1018" s="64"/>
      <c r="I1018" s="8"/>
      <c r="J1018" s="8"/>
      <c r="K1018" s="62"/>
      <c r="L1018" s="1"/>
    </row>
    <row r="1019" ht="15.6" spans="1:12">
      <c r="A1019" s="6"/>
      <c r="B1019" s="6"/>
      <c r="C1019" s="3"/>
      <c r="D1019" s="2"/>
      <c r="E1019" s="63"/>
      <c r="F1019" s="64"/>
      <c r="G1019" s="64"/>
      <c r="H1019" s="64"/>
      <c r="I1019" s="8"/>
      <c r="J1019" s="8"/>
      <c r="K1019" s="62"/>
      <c r="L1019" s="1"/>
    </row>
    <row r="1020" ht="15.6" spans="1:12">
      <c r="A1020" s="6"/>
      <c r="B1020" s="6"/>
      <c r="C1020" s="3"/>
      <c r="D1020" s="2"/>
      <c r="E1020" s="63"/>
      <c r="F1020" s="64"/>
      <c r="G1020" s="64"/>
      <c r="H1020" s="64"/>
      <c r="I1020" s="8"/>
      <c r="J1020" s="8"/>
      <c r="K1020" s="62"/>
      <c r="L1020" s="1"/>
    </row>
    <row r="1021" ht="15.6" spans="1:12">
      <c r="A1021" s="6"/>
      <c r="B1021" s="6"/>
      <c r="C1021" s="3"/>
      <c r="D1021" s="2"/>
      <c r="E1021" s="63"/>
      <c r="F1021" s="64"/>
      <c r="G1021" s="64"/>
      <c r="H1021" s="64"/>
      <c r="I1021" s="8"/>
      <c r="J1021" s="8"/>
      <c r="K1021" s="62"/>
      <c r="L1021" s="1"/>
    </row>
    <row r="1022" ht="15.6" spans="1:12">
      <c r="A1022" s="6"/>
      <c r="B1022" s="6"/>
      <c r="C1022" s="3"/>
      <c r="D1022" s="2"/>
      <c r="E1022" s="63"/>
      <c r="F1022" s="64"/>
      <c r="G1022" s="64"/>
      <c r="H1022" s="64"/>
      <c r="I1022" s="8"/>
      <c r="J1022" s="8"/>
      <c r="K1022" s="62"/>
      <c r="L1022" s="1"/>
    </row>
    <row r="1023" ht="15.6" spans="1:12">
      <c r="A1023" s="6"/>
      <c r="B1023" s="6"/>
      <c r="C1023" s="3"/>
      <c r="D1023" s="2"/>
      <c r="E1023" s="63"/>
      <c r="F1023" s="64"/>
      <c r="G1023" s="64"/>
      <c r="H1023" s="64"/>
      <c r="I1023" s="8"/>
      <c r="J1023" s="8"/>
      <c r="K1023" s="62"/>
      <c r="L1023" s="1"/>
    </row>
    <row r="1024" ht="15.6" spans="1:12">
      <c r="A1024" s="6"/>
      <c r="B1024" s="6"/>
      <c r="C1024" s="3"/>
      <c r="D1024" s="2"/>
      <c r="E1024" s="63"/>
      <c r="F1024" s="64"/>
      <c r="G1024" s="64"/>
      <c r="H1024" s="64"/>
      <c r="I1024" s="8"/>
      <c r="J1024" s="8"/>
      <c r="K1024" s="62"/>
      <c r="L1024" s="1"/>
    </row>
    <row r="1025" ht="15.6" spans="1:12">
      <c r="A1025" s="6"/>
      <c r="B1025" s="6"/>
      <c r="C1025" s="3"/>
      <c r="D1025" s="2"/>
      <c r="E1025" s="63"/>
      <c r="F1025" s="64"/>
      <c r="G1025" s="64"/>
      <c r="H1025" s="64"/>
      <c r="I1025" s="8"/>
      <c r="J1025" s="8"/>
      <c r="K1025" s="62"/>
      <c r="L1025" s="1"/>
    </row>
    <row r="1026" ht="15.6" spans="1:12">
      <c r="A1026" s="6"/>
      <c r="B1026" s="6"/>
      <c r="C1026" s="3"/>
      <c r="D1026" s="2"/>
      <c r="E1026" s="63"/>
      <c r="F1026" s="64"/>
      <c r="G1026" s="64"/>
      <c r="H1026" s="64"/>
      <c r="I1026" s="8"/>
      <c r="J1026" s="8"/>
      <c r="K1026" s="62"/>
      <c r="L1026" s="1"/>
    </row>
    <row r="1027" ht="15.6" spans="1:12">
      <c r="A1027" s="6"/>
      <c r="B1027" s="6"/>
      <c r="C1027" s="3"/>
      <c r="D1027" s="2"/>
      <c r="E1027" s="63"/>
      <c r="F1027" s="64"/>
      <c r="G1027" s="64"/>
      <c r="H1027" s="64"/>
      <c r="I1027" s="8"/>
      <c r="J1027" s="8"/>
      <c r="K1027" s="62"/>
      <c r="L1027" s="1"/>
    </row>
    <row r="1028" ht="15.6" spans="1:12">
      <c r="A1028" s="6"/>
      <c r="B1028" s="6"/>
      <c r="C1028" s="3"/>
      <c r="D1028" s="2"/>
      <c r="E1028" s="63"/>
      <c r="F1028" s="64"/>
      <c r="G1028" s="64"/>
      <c r="H1028" s="64"/>
      <c r="I1028" s="8"/>
      <c r="J1028" s="8"/>
      <c r="K1028" s="62"/>
      <c r="L1028" s="1"/>
    </row>
    <row r="1029" ht="15.6" spans="1:12">
      <c r="A1029" s="6"/>
      <c r="B1029" s="6"/>
      <c r="C1029" s="3"/>
      <c r="D1029" s="2"/>
      <c r="E1029" s="63"/>
      <c r="F1029" s="64"/>
      <c r="G1029" s="64"/>
      <c r="H1029" s="64"/>
      <c r="I1029" s="8"/>
      <c r="J1029" s="8"/>
      <c r="K1029" s="62"/>
      <c r="L1029" s="1"/>
    </row>
    <row r="1030" ht="15.6" spans="1:12">
      <c r="A1030" s="6"/>
      <c r="B1030" s="6"/>
      <c r="C1030" s="3"/>
      <c r="D1030" s="2"/>
      <c r="E1030" s="63"/>
      <c r="F1030" s="64"/>
      <c r="G1030" s="64"/>
      <c r="H1030" s="64"/>
      <c r="I1030" s="8"/>
      <c r="J1030" s="8"/>
      <c r="K1030" s="62"/>
      <c r="L1030" s="1"/>
    </row>
    <row r="1031" ht="15.6" spans="1:12">
      <c r="A1031" s="6"/>
      <c r="B1031" s="6"/>
      <c r="C1031" s="3"/>
      <c r="D1031" s="2"/>
      <c r="E1031" s="63"/>
      <c r="F1031" s="64"/>
      <c r="G1031" s="64"/>
      <c r="H1031" s="64"/>
      <c r="I1031" s="8"/>
      <c r="J1031" s="8"/>
      <c r="K1031" s="62"/>
      <c r="L1031" s="1"/>
    </row>
    <row r="1032" ht="15.6" spans="1:12">
      <c r="A1032" s="6"/>
      <c r="B1032" s="6"/>
      <c r="C1032" s="3"/>
      <c r="D1032" s="2"/>
      <c r="E1032" s="63"/>
      <c r="F1032" s="64"/>
      <c r="G1032" s="64"/>
      <c r="H1032" s="64"/>
      <c r="I1032" s="8"/>
      <c r="J1032" s="8"/>
      <c r="K1032" s="62"/>
      <c r="L1032" s="1"/>
    </row>
    <row r="1033" ht="15.6" spans="1:12">
      <c r="A1033" s="6"/>
      <c r="B1033" s="6"/>
      <c r="C1033" s="3"/>
      <c r="D1033" s="2"/>
      <c r="E1033" s="63"/>
      <c r="F1033" s="64"/>
      <c r="G1033" s="64"/>
      <c r="H1033" s="64"/>
      <c r="I1033" s="8"/>
      <c r="J1033" s="8"/>
      <c r="K1033" s="62"/>
      <c r="L1033" s="1"/>
    </row>
    <row r="1034" ht="15.6" spans="1:12">
      <c r="A1034" s="6"/>
      <c r="B1034" s="6"/>
      <c r="C1034" s="3"/>
      <c r="D1034" s="2"/>
      <c r="E1034" s="63"/>
      <c r="F1034" s="64"/>
      <c r="G1034" s="64"/>
      <c r="H1034" s="64"/>
      <c r="I1034" s="8"/>
      <c r="J1034" s="8"/>
      <c r="K1034" s="62"/>
      <c r="L1034" s="1"/>
    </row>
    <row r="1035" ht="15.6" spans="1:12">
      <c r="A1035" s="6"/>
      <c r="B1035" s="6"/>
      <c r="C1035" s="3"/>
      <c r="D1035" s="2"/>
      <c r="E1035" s="63"/>
      <c r="F1035" s="64"/>
      <c r="G1035" s="64"/>
      <c r="H1035" s="64"/>
      <c r="I1035" s="8"/>
      <c r="J1035" s="8"/>
      <c r="K1035" s="62"/>
      <c r="L1035" s="1"/>
    </row>
    <row r="1036" ht="15.6" spans="1:12">
      <c r="A1036" s="6"/>
      <c r="B1036" s="6"/>
      <c r="C1036" s="3"/>
      <c r="D1036" s="2"/>
      <c r="E1036" s="63"/>
      <c r="F1036" s="64"/>
      <c r="G1036" s="64"/>
      <c r="H1036" s="64"/>
      <c r="I1036" s="8"/>
      <c r="J1036" s="8"/>
      <c r="K1036" s="62"/>
      <c r="L1036" s="1"/>
    </row>
    <row r="1037" ht="15.6" spans="1:12">
      <c r="A1037" s="6"/>
      <c r="B1037" s="6"/>
      <c r="C1037" s="3"/>
      <c r="D1037" s="2"/>
      <c r="E1037" s="63"/>
      <c r="F1037" s="64"/>
      <c r="G1037" s="64"/>
      <c r="H1037" s="64"/>
      <c r="I1037" s="8"/>
      <c r="J1037" s="8"/>
      <c r="K1037" s="62"/>
      <c r="L1037" s="1"/>
    </row>
    <row r="1038" ht="15.6" spans="1:12">
      <c r="A1038" s="6"/>
      <c r="B1038" s="6"/>
      <c r="C1038" s="3"/>
      <c r="D1038" s="2"/>
      <c r="E1038" s="63"/>
      <c r="F1038" s="64"/>
      <c r="G1038" s="64"/>
      <c r="H1038" s="64"/>
      <c r="I1038" s="8"/>
      <c r="J1038" s="8"/>
      <c r="K1038" s="62"/>
      <c r="L1038" s="1"/>
    </row>
    <row r="1039" ht="15.6" spans="1:12">
      <c r="A1039" s="6"/>
      <c r="B1039" s="6"/>
      <c r="C1039" s="3"/>
      <c r="D1039" s="2"/>
      <c r="E1039" s="63"/>
      <c r="F1039" s="64"/>
      <c r="G1039" s="64"/>
      <c r="H1039" s="64"/>
      <c r="I1039" s="8"/>
      <c r="J1039" s="8"/>
      <c r="K1039" s="62"/>
      <c r="L1039" s="1"/>
    </row>
    <row r="1040" ht="15.6" spans="1:12">
      <c r="A1040" s="6"/>
      <c r="B1040" s="6"/>
      <c r="C1040" s="3"/>
      <c r="D1040" s="2"/>
      <c r="E1040" s="63"/>
      <c r="F1040" s="64"/>
      <c r="G1040" s="64"/>
      <c r="H1040" s="64"/>
      <c r="I1040" s="8"/>
      <c r="J1040" s="8"/>
      <c r="K1040" s="62"/>
      <c r="L1040" s="1"/>
    </row>
    <row r="1041" ht="15.6" spans="1:12">
      <c r="A1041" s="6"/>
      <c r="B1041" s="6"/>
      <c r="C1041" s="3"/>
      <c r="D1041" s="2"/>
      <c r="E1041" s="63"/>
      <c r="F1041" s="64"/>
      <c r="G1041" s="64"/>
      <c r="H1041" s="64"/>
      <c r="I1041" s="8"/>
      <c r="J1041" s="8"/>
      <c r="K1041" s="62"/>
      <c r="L1041" s="1"/>
    </row>
    <row r="1042" ht="15.6" spans="1:12">
      <c r="A1042" s="6"/>
      <c r="B1042" s="6"/>
      <c r="C1042" s="3"/>
      <c r="D1042" s="2"/>
      <c r="E1042" s="63"/>
      <c r="F1042" s="64"/>
      <c r="G1042" s="64"/>
      <c r="H1042" s="64"/>
      <c r="I1042" s="8"/>
      <c r="J1042" s="8"/>
      <c r="K1042" s="62"/>
      <c r="L1042" s="1"/>
    </row>
    <row r="1043" ht="15.6" spans="1:12">
      <c r="A1043" s="6"/>
      <c r="B1043" s="6"/>
      <c r="C1043" s="3"/>
      <c r="D1043" s="2"/>
      <c r="E1043" s="63"/>
      <c r="F1043" s="64"/>
      <c r="G1043" s="64"/>
      <c r="H1043" s="64"/>
      <c r="I1043" s="8"/>
      <c r="J1043" s="8"/>
      <c r="K1043" s="62"/>
      <c r="L1043" s="1"/>
    </row>
    <row r="1044" ht="15.6" spans="1:12">
      <c r="A1044" s="6"/>
      <c r="B1044" s="6"/>
      <c r="C1044" s="3"/>
      <c r="D1044" s="2"/>
      <c r="E1044" s="63"/>
      <c r="F1044" s="64"/>
      <c r="G1044" s="64"/>
      <c r="H1044" s="64"/>
      <c r="I1044" s="8"/>
      <c r="J1044" s="8"/>
      <c r="K1044" s="62"/>
      <c r="L1044" s="1"/>
    </row>
    <row r="1045" ht="15.6" spans="1:12">
      <c r="A1045" s="6"/>
      <c r="B1045" s="6"/>
      <c r="C1045" s="3"/>
      <c r="D1045" s="2"/>
      <c r="E1045" s="63"/>
      <c r="F1045" s="64"/>
      <c r="G1045" s="64"/>
      <c r="H1045" s="64"/>
      <c r="I1045" s="8"/>
      <c r="J1045" s="8"/>
      <c r="K1045" s="62"/>
      <c r="L1045" s="1"/>
    </row>
    <row r="1046" ht="15.6" spans="1:12">
      <c r="A1046" s="6"/>
      <c r="B1046" s="6"/>
      <c r="C1046" s="3"/>
      <c r="D1046" s="2"/>
      <c r="E1046" s="63"/>
      <c r="F1046" s="64"/>
      <c r="G1046" s="64"/>
      <c r="H1046" s="64"/>
      <c r="I1046" s="8"/>
      <c r="J1046" s="8"/>
      <c r="K1046" s="62"/>
      <c r="L1046" s="1"/>
    </row>
    <row r="1047" ht="15.6" spans="1:12">
      <c r="A1047" s="6"/>
      <c r="B1047" s="6"/>
      <c r="C1047" s="3"/>
      <c r="D1047" s="2"/>
      <c r="E1047" s="63"/>
      <c r="F1047" s="64"/>
      <c r="G1047" s="64"/>
      <c r="H1047" s="64"/>
      <c r="I1047" s="8"/>
      <c r="J1047" s="8"/>
      <c r="K1047" s="62"/>
      <c r="L1047" s="1"/>
    </row>
    <row r="1048" ht="15.6" spans="1:12">
      <c r="A1048" s="6"/>
      <c r="B1048" s="6"/>
      <c r="C1048" s="3"/>
      <c r="D1048" s="2"/>
      <c r="E1048" s="63"/>
      <c r="F1048" s="64"/>
      <c r="G1048" s="64"/>
      <c r="H1048" s="64"/>
      <c r="I1048" s="8"/>
      <c r="J1048" s="8"/>
      <c r="K1048" s="62"/>
      <c r="L1048" s="1"/>
    </row>
    <row r="1049" ht="15.6" spans="1:12">
      <c r="A1049" s="6"/>
      <c r="B1049" s="6"/>
      <c r="C1049" s="3"/>
      <c r="D1049" s="2"/>
      <c r="E1049" s="63"/>
      <c r="F1049" s="64"/>
      <c r="G1049" s="64"/>
      <c r="H1049" s="64"/>
      <c r="I1049" s="8"/>
      <c r="J1049" s="8"/>
      <c r="K1049" s="62"/>
      <c r="L1049" s="1"/>
    </row>
    <row r="1050" ht="15.6" spans="1:12">
      <c r="A1050" s="6"/>
      <c r="B1050" s="6"/>
      <c r="C1050" s="3"/>
      <c r="D1050" s="2"/>
      <c r="E1050" s="63"/>
      <c r="F1050" s="64"/>
      <c r="G1050" s="64"/>
      <c r="H1050" s="64"/>
      <c r="I1050" s="8"/>
      <c r="J1050" s="8"/>
      <c r="K1050" s="62"/>
      <c r="L1050" s="1"/>
    </row>
    <row r="1051" ht="15.6" spans="1:12">
      <c r="A1051" s="6"/>
      <c r="B1051" s="6"/>
      <c r="C1051" s="3"/>
      <c r="D1051" s="2"/>
      <c r="E1051" s="63"/>
      <c r="F1051" s="64"/>
      <c r="G1051" s="64"/>
      <c r="H1051" s="64"/>
      <c r="I1051" s="8"/>
      <c r="J1051" s="8"/>
      <c r="K1051" s="62"/>
      <c r="L1051" s="1"/>
    </row>
    <row r="1052" ht="15.6" spans="1:12">
      <c r="A1052" s="6"/>
      <c r="B1052" s="6"/>
      <c r="C1052" s="3"/>
      <c r="D1052" s="2"/>
      <c r="E1052" s="63"/>
      <c r="F1052" s="64"/>
      <c r="G1052" s="64"/>
      <c r="H1052" s="64"/>
      <c r="I1052" s="8"/>
      <c r="J1052" s="8"/>
      <c r="K1052" s="62"/>
      <c r="L1052" s="1"/>
    </row>
    <row r="1053" ht="15.6" spans="1:12">
      <c r="A1053" s="6"/>
      <c r="B1053" s="6"/>
      <c r="C1053" s="3"/>
      <c r="D1053" s="2"/>
      <c r="E1053" s="63"/>
      <c r="F1053" s="64"/>
      <c r="G1053" s="64"/>
      <c r="H1053" s="64"/>
      <c r="I1053" s="8"/>
      <c r="J1053" s="8"/>
      <c r="K1053" s="62"/>
      <c r="L1053" s="1"/>
    </row>
    <row r="1054" ht="15.6" spans="1:12">
      <c r="A1054" s="6"/>
      <c r="B1054" s="6"/>
      <c r="C1054" s="3"/>
      <c r="D1054" s="2"/>
      <c r="E1054" s="63"/>
      <c r="F1054" s="64"/>
      <c r="G1054" s="64"/>
      <c r="H1054" s="64"/>
      <c r="I1054" s="8"/>
      <c r="J1054" s="8"/>
      <c r="K1054" s="62"/>
      <c r="L1054" s="1"/>
    </row>
    <row r="1055" ht="15.6" spans="1:12">
      <c r="A1055" s="6"/>
      <c r="B1055" s="6"/>
      <c r="C1055" s="3"/>
      <c r="D1055" s="2"/>
      <c r="E1055" s="63"/>
      <c r="F1055" s="64"/>
      <c r="G1055" s="64"/>
      <c r="H1055" s="64"/>
      <c r="I1055" s="8"/>
      <c r="J1055" s="8"/>
      <c r="K1055" s="62"/>
      <c r="L1055" s="1"/>
    </row>
    <row r="1056" ht="15.6" spans="1:12">
      <c r="A1056" s="6"/>
      <c r="B1056" s="6"/>
      <c r="C1056" s="3"/>
      <c r="D1056" s="2"/>
      <c r="E1056" s="63"/>
      <c r="F1056" s="64"/>
      <c r="G1056" s="64"/>
      <c r="H1056" s="64"/>
      <c r="I1056" s="8"/>
      <c r="J1056" s="8"/>
      <c r="K1056" s="62"/>
      <c r="L1056" s="1"/>
    </row>
    <row r="1057" ht="15.6" spans="1:12">
      <c r="A1057" s="6"/>
      <c r="B1057" s="6"/>
      <c r="C1057" s="3"/>
      <c r="D1057" s="2"/>
      <c r="E1057" s="63"/>
      <c r="F1057" s="64"/>
      <c r="G1057" s="64"/>
      <c r="H1057" s="64"/>
      <c r="I1057" s="8"/>
      <c r="J1057" s="8"/>
      <c r="K1057" s="62"/>
      <c r="L1057" s="1"/>
    </row>
    <row r="1058" ht="15.6" spans="1:12">
      <c r="A1058" s="6"/>
      <c r="B1058" s="6"/>
      <c r="C1058" s="3"/>
      <c r="D1058" s="2"/>
      <c r="E1058" s="63"/>
      <c r="F1058" s="64"/>
      <c r="G1058" s="64"/>
      <c r="H1058" s="64"/>
      <c r="I1058" s="8"/>
      <c r="J1058" s="8"/>
      <c r="K1058" s="62"/>
      <c r="L1058" s="1"/>
    </row>
    <row r="1059" ht="15.6" spans="1:12">
      <c r="A1059" s="6"/>
      <c r="B1059" s="6"/>
      <c r="C1059" s="3"/>
      <c r="D1059" s="2"/>
      <c r="E1059" s="63"/>
      <c r="F1059" s="64"/>
      <c r="G1059" s="64"/>
      <c r="H1059" s="64"/>
      <c r="I1059" s="8"/>
      <c r="J1059" s="8"/>
      <c r="K1059" s="62"/>
      <c r="L1059" s="1"/>
    </row>
    <row r="1060" ht="15.6" spans="1:12">
      <c r="A1060" s="6"/>
      <c r="B1060" s="6"/>
      <c r="C1060" s="3"/>
      <c r="D1060" s="2"/>
      <c r="E1060" s="63"/>
      <c r="F1060" s="64"/>
      <c r="G1060" s="64"/>
      <c r="H1060" s="64"/>
      <c r="I1060" s="8"/>
      <c r="J1060" s="8"/>
      <c r="K1060" s="62"/>
      <c r="L1060" s="1"/>
    </row>
    <row r="1061" ht="15.6" spans="1:12">
      <c r="A1061" s="6"/>
      <c r="B1061" s="6"/>
      <c r="C1061" s="3"/>
      <c r="D1061" s="2"/>
      <c r="E1061" s="63"/>
      <c r="F1061" s="64"/>
      <c r="G1061" s="64"/>
      <c r="H1061" s="64"/>
      <c r="I1061" s="8"/>
      <c r="J1061" s="8"/>
      <c r="K1061" s="62"/>
      <c r="L1061" s="1"/>
    </row>
    <row r="1062" ht="15.6" spans="1:12">
      <c r="A1062" s="6"/>
      <c r="B1062" s="6"/>
      <c r="C1062" s="3"/>
      <c r="D1062" s="2"/>
      <c r="E1062" s="63"/>
      <c r="F1062" s="64"/>
      <c r="G1062" s="64"/>
      <c r="H1062" s="64"/>
      <c r="I1062" s="8"/>
      <c r="J1062" s="8"/>
      <c r="K1062" s="62"/>
      <c r="L1062" s="1"/>
    </row>
    <row r="1063" ht="15.6" spans="1:12">
      <c r="A1063" s="6"/>
      <c r="B1063" s="6"/>
      <c r="C1063" s="3"/>
      <c r="D1063" s="2"/>
      <c r="E1063" s="63"/>
      <c r="F1063" s="64"/>
      <c r="G1063" s="64"/>
      <c r="H1063" s="64"/>
      <c r="I1063" s="8"/>
      <c r="J1063" s="8"/>
      <c r="K1063" s="62"/>
      <c r="L1063" s="1"/>
    </row>
    <row r="1064" ht="15.6" spans="1:12">
      <c r="A1064" s="6"/>
      <c r="B1064" s="6"/>
      <c r="C1064" s="3"/>
      <c r="D1064" s="2"/>
      <c r="E1064" s="63"/>
      <c r="F1064" s="64"/>
      <c r="G1064" s="64"/>
      <c r="H1064" s="64"/>
      <c r="I1064" s="8"/>
      <c r="J1064" s="8"/>
      <c r="K1064" s="62"/>
      <c r="L1064" s="1"/>
    </row>
    <row r="1065" ht="15.6" spans="1:12">
      <c r="A1065" s="6"/>
      <c r="B1065" s="6"/>
      <c r="C1065" s="3"/>
      <c r="D1065" s="2"/>
      <c r="E1065" s="63"/>
      <c r="F1065" s="64"/>
      <c r="G1065" s="64"/>
      <c r="H1065" s="64"/>
      <c r="I1065" s="8"/>
      <c r="J1065" s="8"/>
      <c r="K1065" s="62"/>
      <c r="L1065" s="1"/>
    </row>
    <row r="1066" ht="15.6" spans="1:12">
      <c r="A1066" s="6"/>
      <c r="B1066" s="6"/>
      <c r="C1066" s="3"/>
      <c r="D1066" s="2"/>
      <c r="E1066" s="63"/>
      <c r="F1066" s="64"/>
      <c r="G1066" s="64"/>
      <c r="H1066" s="64"/>
      <c r="I1066" s="8"/>
      <c r="J1066" s="8"/>
      <c r="K1066" s="62"/>
      <c r="L1066" s="1"/>
    </row>
    <row r="1067" ht="15.6" spans="1:12">
      <c r="A1067" s="6"/>
      <c r="B1067" s="6"/>
      <c r="C1067" s="3"/>
      <c r="D1067" s="2"/>
      <c r="E1067" s="63"/>
      <c r="F1067" s="64"/>
      <c r="G1067" s="64"/>
      <c r="H1067" s="64"/>
      <c r="I1067" s="8"/>
      <c r="J1067" s="8"/>
      <c r="K1067" s="62"/>
      <c r="L1067" s="1"/>
    </row>
    <row r="1068" ht="15.6" spans="1:12">
      <c r="A1068" s="6"/>
      <c r="B1068" s="6"/>
      <c r="C1068" s="3"/>
      <c r="D1068" s="2"/>
      <c r="E1068" s="63"/>
      <c r="F1068" s="64"/>
      <c r="G1068" s="64"/>
      <c r="H1068" s="64"/>
      <c r="I1068" s="8"/>
      <c r="J1068" s="8"/>
      <c r="K1068" s="62"/>
      <c r="L1068" s="1"/>
    </row>
    <row r="1069" ht="15.6" spans="1:12">
      <c r="A1069" s="6"/>
      <c r="B1069" s="6"/>
      <c r="C1069" s="3"/>
      <c r="D1069" s="2"/>
      <c r="E1069" s="63"/>
      <c r="F1069" s="64"/>
      <c r="G1069" s="64"/>
      <c r="H1069" s="64"/>
      <c r="I1069" s="8"/>
      <c r="J1069" s="8"/>
      <c r="K1069" s="62"/>
      <c r="L1069" s="1"/>
    </row>
    <row r="1070" ht="15.6" spans="1:12">
      <c r="A1070" s="6"/>
      <c r="B1070" s="6"/>
      <c r="C1070" s="3"/>
      <c r="D1070" s="2"/>
      <c r="E1070" s="63"/>
      <c r="F1070" s="64"/>
      <c r="G1070" s="64"/>
      <c r="H1070" s="64"/>
      <c r="I1070" s="8"/>
      <c r="J1070" s="8"/>
      <c r="K1070" s="62"/>
      <c r="L1070" s="1"/>
    </row>
    <row r="1071" ht="15.6" spans="1:12">
      <c r="A1071" s="6"/>
      <c r="B1071" s="6"/>
      <c r="C1071" s="3"/>
      <c r="D1071" s="2"/>
      <c r="E1071" s="63"/>
      <c r="F1071" s="64"/>
      <c r="G1071" s="64"/>
      <c r="H1071" s="64"/>
      <c r="I1071" s="8"/>
      <c r="J1071" s="8"/>
      <c r="K1071" s="62"/>
      <c r="L1071" s="1"/>
    </row>
    <row r="1072" ht="15.6" spans="1:12">
      <c r="A1072" s="6"/>
      <c r="B1072" s="6"/>
      <c r="C1072" s="3"/>
      <c r="D1072" s="2"/>
      <c r="E1072" s="63"/>
      <c r="F1072" s="64"/>
      <c r="G1072" s="64"/>
      <c r="H1072" s="64"/>
      <c r="I1072" s="8"/>
      <c r="J1072" s="8"/>
      <c r="K1072" s="62"/>
      <c r="L1072" s="1"/>
    </row>
    <row r="1073" ht="15.6" spans="1:12">
      <c r="A1073" s="6"/>
      <c r="B1073" s="6"/>
      <c r="C1073" s="3"/>
      <c r="D1073" s="2"/>
      <c r="E1073" s="63"/>
      <c r="F1073" s="64"/>
      <c r="G1073" s="64"/>
      <c r="H1073" s="64"/>
      <c r="I1073" s="8"/>
      <c r="J1073" s="8"/>
      <c r="K1073" s="62"/>
      <c r="L1073" s="1"/>
    </row>
    <row r="1074" ht="15.6" spans="1:12">
      <c r="A1074" s="6"/>
      <c r="B1074" s="6"/>
      <c r="C1074" s="3"/>
      <c r="D1074" s="2"/>
      <c r="E1074" s="63"/>
      <c r="F1074" s="64"/>
      <c r="G1074" s="64"/>
      <c r="H1074" s="64"/>
      <c r="I1074" s="8"/>
      <c r="J1074" s="8"/>
      <c r="K1074" s="62"/>
      <c r="L1074" s="1"/>
    </row>
    <row r="1075" ht="15.6" spans="1:12">
      <c r="A1075" s="6"/>
      <c r="B1075" s="6"/>
      <c r="C1075" s="3"/>
      <c r="D1075" s="2"/>
      <c r="E1075" s="63"/>
      <c r="F1075" s="64"/>
      <c r="G1075" s="64"/>
      <c r="H1075" s="64"/>
      <c r="I1075" s="8"/>
      <c r="J1075" s="8"/>
      <c r="K1075" s="62"/>
      <c r="L1075" s="1"/>
    </row>
    <row r="1076" ht="15.6" spans="1:12">
      <c r="A1076" s="6"/>
      <c r="B1076" s="6"/>
      <c r="C1076" s="3"/>
      <c r="D1076" s="2"/>
      <c r="E1076" s="63"/>
      <c r="F1076" s="64"/>
      <c r="G1076" s="64"/>
      <c r="H1076" s="64"/>
      <c r="I1076" s="8"/>
      <c r="J1076" s="8"/>
      <c r="K1076" s="62"/>
      <c r="L1076" s="1"/>
    </row>
    <row r="1077" ht="15.6" spans="1:12">
      <c r="A1077" s="6"/>
      <c r="B1077" s="6"/>
      <c r="C1077" s="3"/>
      <c r="D1077" s="2"/>
      <c r="E1077" s="63"/>
      <c r="F1077" s="64"/>
      <c r="G1077" s="64"/>
      <c r="H1077" s="64"/>
      <c r="I1077" s="8"/>
      <c r="J1077" s="8"/>
      <c r="K1077" s="62"/>
      <c r="L1077" s="1"/>
    </row>
    <row r="1078" ht="15.6" spans="1:12">
      <c r="A1078" s="6"/>
      <c r="B1078" s="6"/>
      <c r="C1078" s="3"/>
      <c r="D1078" s="2"/>
      <c r="E1078" s="63"/>
      <c r="F1078" s="64"/>
      <c r="G1078" s="64"/>
      <c r="H1078" s="64"/>
      <c r="I1078" s="8"/>
      <c r="J1078" s="8"/>
      <c r="K1078" s="62"/>
      <c r="L1078" s="1"/>
    </row>
    <row r="1079" ht="15.6" spans="1:12">
      <c r="A1079" s="6"/>
      <c r="B1079" s="6"/>
      <c r="C1079" s="3"/>
      <c r="D1079" s="2"/>
      <c r="E1079" s="63"/>
      <c r="F1079" s="64"/>
      <c r="G1079" s="64"/>
      <c r="H1079" s="64"/>
      <c r="I1079" s="8"/>
      <c r="J1079" s="8"/>
      <c r="K1079" s="62"/>
      <c r="L1079" s="1"/>
    </row>
    <row r="1080" ht="15.6" spans="1:12">
      <c r="A1080" s="6"/>
      <c r="B1080" s="6"/>
      <c r="C1080" s="3"/>
      <c r="D1080" s="2"/>
      <c r="E1080" s="63"/>
      <c r="F1080" s="64"/>
      <c r="G1080" s="64"/>
      <c r="H1080" s="64"/>
      <c r="I1080" s="8"/>
      <c r="J1080" s="8"/>
      <c r="K1080" s="62"/>
      <c r="L1080" s="1"/>
    </row>
    <row r="1081" ht="15.6" spans="1:12">
      <c r="A1081" s="6"/>
      <c r="B1081" s="6"/>
      <c r="C1081" s="3"/>
      <c r="D1081" s="2"/>
      <c r="E1081" s="63"/>
      <c r="F1081" s="64"/>
      <c r="G1081" s="64"/>
      <c r="H1081" s="64"/>
      <c r="I1081" s="8"/>
      <c r="J1081" s="8"/>
      <c r="K1081" s="62"/>
      <c r="L1081" s="1"/>
    </row>
    <row r="1082" ht="15.6" spans="1:12">
      <c r="A1082" s="6"/>
      <c r="B1082" s="6"/>
      <c r="C1082" s="3"/>
      <c r="D1082" s="2"/>
      <c r="E1082" s="63"/>
      <c r="F1082" s="64"/>
      <c r="G1082" s="64"/>
      <c r="H1082" s="64"/>
      <c r="I1082" s="8"/>
      <c r="J1082" s="8"/>
      <c r="K1082" s="62"/>
      <c r="L1082" s="1"/>
    </row>
    <row r="1083" ht="15.6" spans="1:12">
      <c r="A1083" s="6"/>
      <c r="B1083" s="6"/>
      <c r="C1083" s="3"/>
      <c r="D1083" s="2"/>
      <c r="E1083" s="63"/>
      <c r="F1083" s="64"/>
      <c r="G1083" s="64"/>
      <c r="H1083" s="64"/>
      <c r="I1083" s="8"/>
      <c r="J1083" s="8"/>
      <c r="K1083" s="62"/>
      <c r="L1083" s="1"/>
    </row>
    <row r="1084" ht="15.6" spans="1:12">
      <c r="A1084" s="6"/>
      <c r="B1084" s="6"/>
      <c r="C1084" s="3"/>
      <c r="D1084" s="2"/>
      <c r="E1084" s="63"/>
      <c r="F1084" s="64"/>
      <c r="G1084" s="64"/>
      <c r="H1084" s="64"/>
      <c r="I1084" s="8"/>
      <c r="J1084" s="8"/>
      <c r="K1084" s="62"/>
      <c r="L1084" s="1"/>
    </row>
    <row r="1085" ht="15.6" spans="1:12">
      <c r="A1085" s="6"/>
      <c r="B1085" s="6"/>
      <c r="C1085" s="3"/>
      <c r="D1085" s="2"/>
      <c r="E1085" s="63"/>
      <c r="F1085" s="64"/>
      <c r="G1085" s="64"/>
      <c r="H1085" s="64"/>
      <c r="I1085" s="8"/>
      <c r="J1085" s="8"/>
      <c r="K1085" s="62"/>
      <c r="L1085" s="1"/>
    </row>
    <row r="1086" ht="15.6" spans="1:12">
      <c r="A1086" s="6"/>
      <c r="B1086" s="6"/>
      <c r="C1086" s="3"/>
      <c r="D1086" s="2"/>
      <c r="E1086" s="63"/>
      <c r="F1086" s="64"/>
      <c r="G1086" s="64"/>
      <c r="H1086" s="64"/>
      <c r="I1086" s="8"/>
      <c r="J1086" s="8"/>
      <c r="K1086" s="62"/>
      <c r="L1086" s="1"/>
    </row>
    <row r="1087" ht="15.6" spans="1:12">
      <c r="A1087" s="6"/>
      <c r="B1087" s="6"/>
      <c r="C1087" s="3"/>
      <c r="D1087" s="2"/>
      <c r="E1087" s="63"/>
      <c r="F1087" s="64"/>
      <c r="G1087" s="64"/>
      <c r="H1087" s="64"/>
      <c r="I1087" s="8"/>
      <c r="J1087" s="8"/>
      <c r="K1087" s="62"/>
      <c r="L1087" s="1"/>
    </row>
    <row r="1088" ht="15.6" spans="1:12">
      <c r="A1088" s="6"/>
      <c r="B1088" s="6"/>
      <c r="C1088" s="3"/>
      <c r="D1088" s="2"/>
      <c r="E1088" s="63"/>
      <c r="F1088" s="64"/>
      <c r="G1088" s="64"/>
      <c r="H1088" s="64"/>
      <c r="I1088" s="8"/>
      <c r="J1088" s="8"/>
      <c r="K1088" s="62"/>
      <c r="L1088" s="1"/>
    </row>
    <row r="1089" ht="15.6" spans="1:12">
      <c r="A1089" s="6"/>
      <c r="B1089" s="6"/>
      <c r="C1089" s="3"/>
      <c r="D1089" s="2"/>
      <c r="E1089" s="63"/>
      <c r="F1089" s="64"/>
      <c r="G1089" s="64"/>
      <c r="H1089" s="64"/>
      <c r="I1089" s="8"/>
      <c r="J1089" s="8"/>
      <c r="K1089" s="62"/>
      <c r="L1089" s="1"/>
    </row>
    <row r="1090" ht="15.6" spans="1:12">
      <c r="A1090" s="6"/>
      <c r="B1090" s="6"/>
      <c r="C1090" s="3"/>
      <c r="D1090" s="2"/>
      <c r="E1090" s="63"/>
      <c r="F1090" s="64"/>
      <c r="G1090" s="64"/>
      <c r="H1090" s="64"/>
      <c r="I1090" s="8"/>
      <c r="J1090" s="8"/>
      <c r="K1090" s="62"/>
      <c r="L1090" s="1"/>
    </row>
    <row r="1091" ht="15.6" spans="1:12">
      <c r="A1091" s="6"/>
      <c r="B1091" s="6"/>
      <c r="C1091" s="3"/>
      <c r="D1091" s="2"/>
      <c r="E1091" s="63"/>
      <c r="F1091" s="64"/>
      <c r="G1091" s="64"/>
      <c r="H1091" s="64"/>
      <c r="I1091" s="8"/>
      <c r="J1091" s="8"/>
      <c r="K1091" s="62"/>
      <c r="L1091" s="1"/>
    </row>
    <row r="1092" ht="15.6" spans="1:12">
      <c r="A1092" s="6"/>
      <c r="B1092" s="6"/>
      <c r="C1092" s="3"/>
      <c r="D1092" s="2"/>
      <c r="E1092" s="63"/>
      <c r="F1092" s="64"/>
      <c r="G1092" s="64"/>
      <c r="H1092" s="64"/>
      <c r="I1092" s="8"/>
      <c r="J1092" s="8"/>
      <c r="K1092" s="62"/>
      <c r="L1092" s="1"/>
    </row>
    <row r="1093" ht="15.6" spans="1:12">
      <c r="A1093" s="6"/>
      <c r="B1093" s="6"/>
      <c r="C1093" s="3"/>
      <c r="D1093" s="2"/>
      <c r="E1093" s="63"/>
      <c r="F1093" s="64"/>
      <c r="G1093" s="64"/>
      <c r="H1093" s="64"/>
      <c r="I1093" s="8"/>
      <c r="J1093" s="8"/>
      <c r="K1093" s="62"/>
      <c r="L1093" s="1"/>
    </row>
    <row r="1094" ht="15.6" spans="1:12">
      <c r="A1094" s="6"/>
      <c r="B1094" s="6"/>
      <c r="C1094" s="3"/>
      <c r="D1094" s="2"/>
      <c r="E1094" s="63"/>
      <c r="F1094" s="64"/>
      <c r="G1094" s="64"/>
      <c r="H1094" s="64"/>
      <c r="I1094" s="8"/>
      <c r="J1094" s="8"/>
      <c r="K1094" s="62"/>
      <c r="L1094" s="1"/>
    </row>
    <row r="1095" ht="15.6" spans="1:12">
      <c r="A1095" s="6"/>
      <c r="B1095" s="6"/>
      <c r="C1095" s="3"/>
      <c r="D1095" s="2"/>
      <c r="E1095" s="63"/>
      <c r="F1095" s="64"/>
      <c r="G1095" s="64"/>
      <c r="H1095" s="64"/>
      <c r="I1095" s="8"/>
      <c r="J1095" s="8"/>
      <c r="K1095" s="62"/>
      <c r="L1095" s="1"/>
    </row>
    <row r="1096" ht="15.6" spans="1:12">
      <c r="A1096" s="6"/>
      <c r="B1096" s="6"/>
      <c r="C1096" s="3"/>
      <c r="D1096" s="2"/>
      <c r="E1096" s="63"/>
      <c r="F1096" s="64"/>
      <c r="G1096" s="64"/>
      <c r="H1096" s="64"/>
      <c r="I1096" s="8"/>
      <c r="J1096" s="8"/>
      <c r="K1096" s="62"/>
      <c r="L1096" s="1"/>
    </row>
    <row r="1097" ht="15.6" spans="1:12">
      <c r="A1097" s="6"/>
      <c r="B1097" s="6"/>
      <c r="C1097" s="3"/>
      <c r="D1097" s="2"/>
      <c r="E1097" s="63"/>
      <c r="F1097" s="64"/>
      <c r="G1097" s="64"/>
      <c r="H1097" s="64"/>
      <c r="I1097" s="8"/>
      <c r="J1097" s="8"/>
      <c r="K1097" s="62"/>
      <c r="L1097" s="1"/>
    </row>
    <row r="1098" ht="15.6" spans="1:12">
      <c r="A1098" s="6"/>
      <c r="B1098" s="6"/>
      <c r="C1098" s="3"/>
      <c r="D1098" s="2"/>
      <c r="E1098" s="63"/>
      <c r="F1098" s="64"/>
      <c r="G1098" s="64"/>
      <c r="H1098" s="64"/>
      <c r="I1098" s="8"/>
      <c r="J1098" s="8"/>
      <c r="K1098" s="62"/>
      <c r="L1098" s="1"/>
    </row>
    <row r="1099" ht="15.6" spans="1:12">
      <c r="A1099" s="6"/>
      <c r="B1099" s="6"/>
      <c r="C1099" s="3"/>
      <c r="D1099" s="2"/>
      <c r="E1099" s="63"/>
      <c r="F1099" s="64"/>
      <c r="G1099" s="64"/>
      <c r="H1099" s="64"/>
      <c r="I1099" s="8"/>
      <c r="J1099" s="8"/>
      <c r="K1099" s="62"/>
      <c r="L1099" s="1"/>
    </row>
    <row r="1100" ht="15.6" spans="1:12">
      <c r="A1100" s="6"/>
      <c r="B1100" s="6"/>
      <c r="C1100" s="3"/>
      <c r="D1100" s="2"/>
      <c r="E1100" s="63"/>
      <c r="F1100" s="64"/>
      <c r="G1100" s="64"/>
      <c r="H1100" s="64"/>
      <c r="I1100" s="8"/>
      <c r="J1100" s="8"/>
      <c r="K1100" s="62"/>
      <c r="L1100" s="1"/>
    </row>
    <row r="1101" ht="15.6" spans="1:12">
      <c r="A1101" s="6"/>
      <c r="B1101" s="6"/>
      <c r="C1101" s="3"/>
      <c r="D1101" s="2"/>
      <c r="E1101" s="63"/>
      <c r="F1101" s="64"/>
      <c r="G1101" s="64"/>
      <c r="H1101" s="64"/>
      <c r="I1101" s="8"/>
      <c r="J1101" s="8"/>
      <c r="K1101" s="62"/>
      <c r="L1101" s="1"/>
    </row>
    <row r="1102" ht="15.6" spans="1:12">
      <c r="A1102" s="6"/>
      <c r="B1102" s="6"/>
      <c r="C1102" s="3"/>
      <c r="D1102" s="2"/>
      <c r="E1102" s="63"/>
      <c r="F1102" s="64"/>
      <c r="G1102" s="64"/>
      <c r="H1102" s="64"/>
      <c r="I1102" s="8"/>
      <c r="J1102" s="8"/>
      <c r="K1102" s="62"/>
      <c r="L1102" s="1"/>
    </row>
    <row r="1103" ht="15.6" spans="1:12">
      <c r="A1103" s="6"/>
      <c r="B1103" s="6"/>
      <c r="C1103" s="3"/>
      <c r="D1103" s="2"/>
      <c r="E1103" s="63"/>
      <c r="F1103" s="64"/>
      <c r="G1103" s="64"/>
      <c r="H1103" s="64"/>
      <c r="I1103" s="8"/>
      <c r="J1103" s="8"/>
      <c r="K1103" s="62"/>
      <c r="L1103" s="1"/>
    </row>
    <row r="1104" ht="15.6" spans="1:12">
      <c r="A1104" s="6"/>
      <c r="B1104" s="6"/>
      <c r="C1104" s="3"/>
      <c r="D1104" s="2"/>
      <c r="E1104" s="63"/>
      <c r="F1104" s="64"/>
      <c r="G1104" s="64"/>
      <c r="H1104" s="64"/>
      <c r="I1104" s="8"/>
      <c r="J1104" s="8"/>
      <c r="K1104" s="62"/>
      <c r="L1104" s="1"/>
    </row>
    <row r="1105" ht="15.6" spans="1:12">
      <c r="A1105" s="6"/>
      <c r="B1105" s="6"/>
      <c r="C1105" s="3"/>
      <c r="D1105" s="2"/>
      <c r="E1105" s="63"/>
      <c r="F1105" s="64"/>
      <c r="G1105" s="64"/>
      <c r="H1105" s="64"/>
      <c r="I1105" s="8"/>
      <c r="J1105" s="8"/>
      <c r="K1105" s="62"/>
      <c r="L1105" s="1"/>
    </row>
    <row r="1106" ht="15.6" spans="1:12">
      <c r="A1106" s="6"/>
      <c r="B1106" s="6"/>
      <c r="C1106" s="3"/>
      <c r="D1106" s="2"/>
      <c r="E1106" s="63"/>
      <c r="F1106" s="64"/>
      <c r="G1106" s="64"/>
      <c r="H1106" s="64"/>
      <c r="I1106" s="8"/>
      <c r="J1106" s="8"/>
      <c r="K1106" s="62"/>
      <c r="L1106" s="1"/>
    </row>
    <row r="1107" ht="15.6" spans="1:12">
      <c r="A1107" s="6"/>
      <c r="B1107" s="6"/>
      <c r="C1107" s="3"/>
      <c r="D1107" s="2"/>
      <c r="E1107" s="63"/>
      <c r="F1107" s="64"/>
      <c r="G1107" s="64"/>
      <c r="H1107" s="64"/>
      <c r="I1107" s="8"/>
      <c r="J1107" s="8"/>
      <c r="K1107" s="62"/>
      <c r="L1107" s="1"/>
    </row>
    <row r="1108" ht="15.6" spans="1:12">
      <c r="A1108" s="6"/>
      <c r="B1108" s="6"/>
      <c r="C1108" s="3"/>
      <c r="D1108" s="2"/>
      <c r="E1108" s="63"/>
      <c r="F1108" s="64"/>
      <c r="G1108" s="64"/>
      <c r="H1108" s="64"/>
      <c r="I1108" s="8"/>
      <c r="J1108" s="8"/>
      <c r="K1108" s="62"/>
      <c r="L1108" s="1"/>
    </row>
    <row r="1109" ht="15.6" spans="1:12">
      <c r="A1109" s="6"/>
      <c r="B1109" s="6"/>
      <c r="C1109" s="3"/>
      <c r="D1109" s="2"/>
      <c r="E1109" s="63"/>
      <c r="F1109" s="64"/>
      <c r="G1109" s="64"/>
      <c r="H1109" s="64"/>
      <c r="I1109" s="8"/>
      <c r="J1109" s="8"/>
      <c r="K1109" s="62"/>
      <c r="L1109" s="1"/>
    </row>
    <row r="1110" ht="15.6" spans="1:12">
      <c r="A1110" s="6"/>
      <c r="B1110" s="6"/>
      <c r="C1110" s="3"/>
      <c r="D1110" s="2"/>
      <c r="E1110" s="63"/>
      <c r="F1110" s="64"/>
      <c r="G1110" s="64"/>
      <c r="H1110" s="64"/>
      <c r="I1110" s="8"/>
      <c r="J1110" s="8"/>
      <c r="K1110" s="62"/>
      <c r="L1110" s="1"/>
    </row>
    <row r="1111" ht="15.6" spans="1:12">
      <c r="A1111" s="6"/>
      <c r="B1111" s="6"/>
      <c r="C1111" s="3"/>
      <c r="D1111" s="2"/>
      <c r="E1111" s="63"/>
      <c r="F1111" s="64"/>
      <c r="G1111" s="64"/>
      <c r="H1111" s="64"/>
      <c r="I1111" s="8"/>
      <c r="J1111" s="8"/>
      <c r="K1111" s="62"/>
      <c r="L1111" s="1"/>
    </row>
    <row r="1112" ht="15.6" spans="1:12">
      <c r="A1112" s="6"/>
      <c r="B1112" s="6"/>
      <c r="C1112" s="3"/>
      <c r="D1112" s="2"/>
      <c r="E1112" s="63"/>
      <c r="F1112" s="64"/>
      <c r="G1112" s="64"/>
      <c r="H1112" s="64"/>
      <c r="I1112" s="8"/>
      <c r="J1112" s="8"/>
      <c r="K1112" s="62"/>
      <c r="L1112" s="1"/>
    </row>
    <row r="1113" ht="15.6" spans="1:12">
      <c r="A1113" s="6"/>
      <c r="B1113" s="6"/>
      <c r="C1113" s="3"/>
      <c r="D1113" s="2"/>
      <c r="E1113" s="63"/>
      <c r="F1113" s="64"/>
      <c r="G1113" s="64"/>
      <c r="H1113" s="64"/>
      <c r="I1113" s="8"/>
      <c r="J1113" s="8"/>
      <c r="K1113" s="62"/>
      <c r="L1113" s="1"/>
    </row>
    <row r="1114" ht="15.6" spans="1:12">
      <c r="A1114" s="6"/>
      <c r="B1114" s="6"/>
      <c r="C1114" s="3"/>
      <c r="D1114" s="2"/>
      <c r="E1114" s="63"/>
      <c r="F1114" s="64"/>
      <c r="G1114" s="64"/>
      <c r="H1114" s="64"/>
      <c r="I1114" s="8"/>
      <c r="J1114" s="8"/>
      <c r="K1114" s="62"/>
      <c r="L1114" s="1"/>
    </row>
    <row r="1115" ht="15.6" spans="1:12">
      <c r="A1115" s="6"/>
      <c r="B1115" s="6"/>
      <c r="C1115" s="3"/>
      <c r="D1115" s="2"/>
      <c r="E1115" s="63"/>
      <c r="F1115" s="64"/>
      <c r="G1115" s="64"/>
      <c r="H1115" s="64"/>
      <c r="I1115" s="8"/>
      <c r="J1115" s="8"/>
      <c r="K1115" s="62"/>
      <c r="L1115" s="1"/>
    </row>
    <row r="1116" ht="15.6" spans="1:12">
      <c r="A1116" s="6"/>
      <c r="B1116" s="6"/>
      <c r="C1116" s="3"/>
      <c r="D1116" s="2"/>
      <c r="E1116" s="63"/>
      <c r="F1116" s="64"/>
      <c r="G1116" s="64"/>
      <c r="H1116" s="64"/>
      <c r="I1116" s="8"/>
      <c r="J1116" s="8"/>
      <c r="K1116" s="62"/>
      <c r="L1116" s="1"/>
    </row>
    <row r="1117" ht="15.6" spans="1:12">
      <c r="A1117" s="6"/>
      <c r="B1117" s="6"/>
      <c r="C1117" s="3"/>
      <c r="D1117" s="2"/>
      <c r="E1117" s="63"/>
      <c r="F1117" s="64"/>
      <c r="G1117" s="64"/>
      <c r="H1117" s="64"/>
      <c r="I1117" s="8"/>
      <c r="J1117" s="8"/>
      <c r="K1117" s="62"/>
      <c r="L1117" s="1"/>
    </row>
    <row r="1118" ht="15.6" spans="1:12">
      <c r="A1118" s="6"/>
      <c r="B1118" s="6"/>
      <c r="C1118" s="3"/>
      <c r="D1118" s="2"/>
      <c r="E1118" s="63"/>
      <c r="F1118" s="64"/>
      <c r="G1118" s="64"/>
      <c r="H1118" s="64"/>
      <c r="I1118" s="8"/>
      <c r="J1118" s="8"/>
      <c r="K1118" s="62"/>
      <c r="L1118" s="1"/>
    </row>
    <row r="1119" ht="15.6" spans="1:12">
      <c r="A1119" s="6"/>
      <c r="B1119" s="6"/>
      <c r="C1119" s="3"/>
      <c r="D1119" s="2"/>
      <c r="E1119" s="63"/>
      <c r="F1119" s="64"/>
      <c r="G1119" s="64"/>
      <c r="H1119" s="64"/>
      <c r="I1119" s="8"/>
      <c r="J1119" s="8"/>
      <c r="K1119" s="62"/>
      <c r="L1119" s="1"/>
    </row>
    <row r="1120" ht="15.6" spans="1:12">
      <c r="A1120" s="6"/>
      <c r="B1120" s="6"/>
      <c r="C1120" s="3"/>
      <c r="D1120" s="2"/>
      <c r="E1120" s="63"/>
      <c r="F1120" s="64"/>
      <c r="G1120" s="64"/>
      <c r="H1120" s="64"/>
      <c r="I1120" s="8"/>
      <c r="J1120" s="8"/>
      <c r="K1120" s="62"/>
      <c r="L1120" s="1"/>
    </row>
    <row r="1121" ht="15.6" spans="1:12">
      <c r="A1121" s="6"/>
      <c r="B1121" s="6"/>
      <c r="C1121" s="3"/>
      <c r="D1121" s="2"/>
      <c r="E1121" s="63"/>
      <c r="F1121" s="64"/>
      <c r="G1121" s="64"/>
      <c r="H1121" s="64"/>
      <c r="I1121" s="8"/>
      <c r="J1121" s="8"/>
      <c r="K1121" s="62"/>
      <c r="L1121" s="1"/>
    </row>
    <row r="1122" ht="15.6" spans="1:12">
      <c r="A1122" s="6"/>
      <c r="B1122" s="6"/>
      <c r="C1122" s="3"/>
      <c r="D1122" s="2"/>
      <c r="E1122" s="63"/>
      <c r="F1122" s="64"/>
      <c r="G1122" s="64"/>
      <c r="H1122" s="64"/>
      <c r="I1122" s="8"/>
      <c r="J1122" s="8"/>
      <c r="K1122" s="62"/>
      <c r="L1122" s="1"/>
    </row>
    <row r="1123" ht="15.6" spans="1:12">
      <c r="A1123" s="6"/>
      <c r="B1123" s="6"/>
      <c r="C1123" s="3"/>
      <c r="D1123" s="2"/>
      <c r="E1123" s="63"/>
      <c r="F1123" s="64"/>
      <c r="G1123" s="64"/>
      <c r="H1123" s="64"/>
      <c r="I1123" s="8"/>
      <c r="J1123" s="8"/>
      <c r="K1123" s="62"/>
      <c r="L1123" s="1"/>
    </row>
    <row r="1124" ht="15.6" spans="1:12">
      <c r="A1124" s="6"/>
      <c r="B1124" s="6"/>
      <c r="C1124" s="3"/>
      <c r="D1124" s="2"/>
      <c r="E1124" s="63"/>
      <c r="F1124" s="64"/>
      <c r="G1124" s="64"/>
      <c r="H1124" s="64"/>
      <c r="I1124" s="8"/>
      <c r="J1124" s="8"/>
      <c r="K1124" s="62"/>
      <c r="L1124" s="1"/>
    </row>
    <row r="1125" ht="15.6" spans="1:12">
      <c r="A1125" s="6"/>
      <c r="B1125" s="6"/>
      <c r="C1125" s="3"/>
      <c r="D1125" s="2"/>
      <c r="E1125" s="63"/>
      <c r="F1125" s="64"/>
      <c r="G1125" s="64"/>
      <c r="H1125" s="64"/>
      <c r="I1125" s="8"/>
      <c r="J1125" s="8"/>
      <c r="K1125" s="62"/>
      <c r="L1125" s="1"/>
    </row>
    <row r="1126" ht="15.6" spans="1:12">
      <c r="A1126" s="6"/>
      <c r="B1126" s="6"/>
      <c r="C1126" s="3"/>
      <c r="D1126" s="2"/>
      <c r="E1126" s="63"/>
      <c r="F1126" s="64"/>
      <c r="G1126" s="64"/>
      <c r="H1126" s="64"/>
      <c r="I1126" s="8"/>
      <c r="J1126" s="8"/>
      <c r="K1126" s="62"/>
      <c r="L1126" s="1"/>
    </row>
    <row r="1127" ht="15.6" spans="1:12">
      <c r="A1127" s="6"/>
      <c r="B1127" s="6"/>
      <c r="C1127" s="3"/>
      <c r="D1127" s="2"/>
      <c r="E1127" s="63"/>
      <c r="F1127" s="64"/>
      <c r="G1127" s="64"/>
      <c r="H1127" s="64"/>
      <c r="I1127" s="8"/>
      <c r="J1127" s="8"/>
      <c r="K1127" s="62"/>
      <c r="L1127" s="1"/>
    </row>
    <row r="1128" ht="15.6" spans="1:12">
      <c r="A1128" s="6"/>
      <c r="B1128" s="6"/>
      <c r="C1128" s="3"/>
      <c r="D1128" s="2"/>
      <c r="E1128" s="63"/>
      <c r="F1128" s="64"/>
      <c r="G1128" s="64"/>
      <c r="H1128" s="64"/>
      <c r="I1128" s="8"/>
      <c r="J1128" s="8"/>
      <c r="K1128" s="62"/>
      <c r="L1128" s="1"/>
    </row>
    <row r="1129" ht="15.6" spans="1:12">
      <c r="A1129" s="6"/>
      <c r="B1129" s="6"/>
      <c r="C1129" s="3"/>
      <c r="D1129" s="2"/>
      <c r="E1129" s="63"/>
      <c r="F1129" s="64"/>
      <c r="G1129" s="64"/>
      <c r="H1129" s="64"/>
      <c r="I1129" s="8"/>
      <c r="J1129" s="8"/>
      <c r="K1129" s="62"/>
      <c r="L1129" s="1"/>
    </row>
    <row r="1130" ht="15.6" spans="1:12">
      <c r="A1130" s="6"/>
      <c r="B1130" s="6"/>
      <c r="C1130" s="3"/>
      <c r="D1130" s="2"/>
      <c r="E1130" s="63"/>
      <c r="F1130" s="64"/>
      <c r="G1130" s="64"/>
      <c r="H1130" s="64"/>
      <c r="I1130" s="8"/>
      <c r="J1130" s="8"/>
      <c r="K1130" s="62"/>
      <c r="L1130" s="1"/>
    </row>
    <row r="1131" ht="15.6" spans="1:12">
      <c r="A1131" s="6"/>
      <c r="B1131" s="6"/>
      <c r="C1131" s="3"/>
      <c r="D1131" s="2"/>
      <c r="E1131" s="63"/>
      <c r="F1131" s="64"/>
      <c r="G1131" s="64"/>
      <c r="H1131" s="64"/>
      <c r="I1131" s="8"/>
      <c r="J1131" s="8"/>
      <c r="K1131" s="62"/>
      <c r="L1131" s="1"/>
    </row>
    <row r="1132" ht="15.6" spans="1:12">
      <c r="A1132" s="6"/>
      <c r="B1132" s="6"/>
      <c r="C1132" s="3"/>
      <c r="D1132" s="2"/>
      <c r="E1132" s="63"/>
      <c r="F1132" s="64"/>
      <c r="G1132" s="64"/>
      <c r="H1132" s="64"/>
      <c r="I1132" s="8"/>
      <c r="J1132" s="8"/>
      <c r="K1132" s="62"/>
      <c r="L1132" s="1"/>
    </row>
    <row r="1133" ht="15.6" spans="1:12">
      <c r="A1133" s="6"/>
      <c r="B1133" s="6"/>
      <c r="C1133" s="3"/>
      <c r="D1133" s="2"/>
      <c r="E1133" s="63"/>
      <c r="F1133" s="64"/>
      <c r="G1133" s="64"/>
      <c r="H1133" s="64"/>
      <c r="I1133" s="8"/>
      <c r="J1133" s="8"/>
      <c r="K1133" s="62"/>
      <c r="L1133" s="1"/>
    </row>
    <row r="1134" ht="15.6" spans="1:12">
      <c r="A1134" s="6"/>
      <c r="B1134" s="6"/>
      <c r="C1134" s="3"/>
      <c r="D1134" s="2"/>
      <c r="E1134" s="63"/>
      <c r="F1134" s="64"/>
      <c r="G1134" s="64"/>
      <c r="H1134" s="64"/>
      <c r="I1134" s="8"/>
      <c r="J1134" s="8"/>
      <c r="K1134" s="62"/>
      <c r="L1134" s="1"/>
    </row>
    <row r="1135" ht="15.6" spans="1:12">
      <c r="A1135" s="6"/>
      <c r="B1135" s="6"/>
      <c r="C1135" s="3"/>
      <c r="D1135" s="2"/>
      <c r="E1135" s="63"/>
      <c r="F1135" s="64"/>
      <c r="G1135" s="64"/>
      <c r="H1135" s="64"/>
      <c r="I1135" s="8"/>
      <c r="J1135" s="8"/>
      <c r="K1135" s="62"/>
      <c r="L1135" s="1"/>
    </row>
    <row r="1136" ht="15.6" spans="1:12">
      <c r="A1136" s="6"/>
      <c r="B1136" s="6"/>
      <c r="C1136" s="3"/>
      <c r="D1136" s="2"/>
      <c r="E1136" s="63"/>
      <c r="F1136" s="64"/>
      <c r="G1136" s="64"/>
      <c r="H1136" s="64"/>
      <c r="I1136" s="8"/>
      <c r="J1136" s="8"/>
      <c r="K1136" s="62"/>
      <c r="L1136" s="1"/>
    </row>
    <row r="1137" ht="15.6" spans="1:12">
      <c r="A1137" s="6"/>
      <c r="B1137" s="6"/>
      <c r="C1137" s="3"/>
      <c r="D1137" s="2"/>
      <c r="E1137" s="63"/>
      <c r="F1137" s="64"/>
      <c r="G1137" s="64"/>
      <c r="H1137" s="64"/>
      <c r="I1137" s="8"/>
      <c r="J1137" s="8"/>
      <c r="K1137" s="62"/>
      <c r="L1137" s="1"/>
    </row>
    <row r="1138" ht="15.6" spans="1:12">
      <c r="A1138" s="6"/>
      <c r="B1138" s="6"/>
      <c r="C1138" s="3"/>
      <c r="D1138" s="2"/>
      <c r="E1138" s="63"/>
      <c r="F1138" s="64"/>
      <c r="G1138" s="64"/>
      <c r="H1138" s="64"/>
      <c r="I1138" s="8"/>
      <c r="J1138" s="8"/>
      <c r="K1138" s="62"/>
      <c r="L1138" s="1"/>
    </row>
    <row r="1139" ht="15.6" spans="1:12">
      <c r="A1139" s="6"/>
      <c r="B1139" s="6"/>
      <c r="C1139" s="3"/>
      <c r="D1139" s="2"/>
      <c r="E1139" s="63"/>
      <c r="F1139" s="64"/>
      <c r="G1139" s="64"/>
      <c r="H1139" s="64"/>
      <c r="I1139" s="8"/>
      <c r="J1139" s="8"/>
      <c r="K1139" s="62"/>
      <c r="L1139" s="1"/>
    </row>
    <row r="1140" ht="15.6" spans="1:12">
      <c r="A1140" s="6"/>
      <c r="B1140" s="6"/>
      <c r="C1140" s="3"/>
      <c r="D1140" s="2"/>
      <c r="E1140" s="63"/>
      <c r="F1140" s="64"/>
      <c r="G1140" s="64"/>
      <c r="H1140" s="64"/>
      <c r="I1140" s="8"/>
      <c r="J1140" s="8"/>
      <c r="K1140" s="62"/>
      <c r="L1140" s="1"/>
    </row>
    <row r="1141" ht="15.6" spans="1:12">
      <c r="A1141" s="6"/>
      <c r="B1141" s="6"/>
      <c r="C1141" s="3"/>
      <c r="D1141" s="2"/>
      <c r="E1141" s="63"/>
      <c r="F1141" s="64"/>
      <c r="G1141" s="64"/>
      <c r="H1141" s="64"/>
      <c r="I1141" s="8"/>
      <c r="J1141" s="8"/>
      <c r="K1141" s="62"/>
      <c r="L1141" s="1"/>
    </row>
    <row r="1142" ht="15.6" spans="1:12">
      <c r="A1142" s="6"/>
      <c r="B1142" s="6"/>
      <c r="C1142" s="3"/>
      <c r="D1142" s="2"/>
      <c r="E1142" s="63"/>
      <c r="F1142" s="64"/>
      <c r="G1142" s="64"/>
      <c r="H1142" s="64"/>
      <c r="I1142" s="8"/>
      <c r="J1142" s="8"/>
      <c r="K1142" s="62"/>
      <c r="L1142" s="1"/>
    </row>
    <row r="1143" ht="15.6" spans="1:12">
      <c r="A1143" s="6"/>
      <c r="B1143" s="6"/>
      <c r="C1143" s="3"/>
      <c r="D1143" s="2"/>
      <c r="E1143" s="63"/>
      <c r="F1143" s="64"/>
      <c r="G1143" s="64"/>
      <c r="H1143" s="64"/>
      <c r="I1143" s="8"/>
      <c r="J1143" s="8"/>
      <c r="K1143" s="62"/>
      <c r="L1143" s="1"/>
    </row>
    <row r="1144" ht="15.6" spans="1:12">
      <c r="A1144" s="6"/>
      <c r="B1144" s="6"/>
      <c r="C1144" s="3"/>
      <c r="D1144" s="2"/>
      <c r="E1144" s="63"/>
      <c r="F1144" s="64"/>
      <c r="G1144" s="64"/>
      <c r="H1144" s="64"/>
      <c r="I1144" s="8"/>
      <c r="J1144" s="8"/>
      <c r="K1144" s="62"/>
      <c r="L1144" s="1"/>
    </row>
    <row r="1145" ht="15.6" spans="1:12">
      <c r="A1145" s="6"/>
      <c r="B1145" s="6"/>
      <c r="C1145" s="3"/>
      <c r="D1145" s="2"/>
      <c r="E1145" s="63"/>
      <c r="F1145" s="64"/>
      <c r="G1145" s="64"/>
      <c r="H1145" s="64"/>
      <c r="I1145" s="8"/>
      <c r="J1145" s="8"/>
      <c r="K1145" s="62"/>
      <c r="L1145" s="1"/>
    </row>
    <row r="1146" ht="15.6" spans="1:12">
      <c r="A1146" s="6"/>
      <c r="B1146" s="6"/>
      <c r="C1146" s="3"/>
      <c r="D1146" s="2"/>
      <c r="E1146" s="63"/>
      <c r="F1146" s="64"/>
      <c r="G1146" s="64"/>
      <c r="H1146" s="64"/>
      <c r="I1146" s="8"/>
      <c r="J1146" s="8"/>
      <c r="K1146" s="62"/>
      <c r="L1146" s="1"/>
    </row>
    <row r="1147" ht="15.6" spans="1:12">
      <c r="A1147" s="6"/>
      <c r="B1147" s="6"/>
      <c r="C1147" s="3"/>
      <c r="D1147" s="2"/>
      <c r="E1147" s="63"/>
      <c r="F1147" s="64"/>
      <c r="G1147" s="64"/>
      <c r="H1147" s="64"/>
      <c r="I1147" s="8"/>
      <c r="J1147" s="8"/>
      <c r="K1147" s="62"/>
      <c r="L1147" s="1"/>
    </row>
    <row r="1148" ht="15.6" spans="1:12">
      <c r="A1148" s="6"/>
      <c r="B1148" s="6"/>
      <c r="C1148" s="3"/>
      <c r="D1148" s="2"/>
      <c r="E1148" s="63"/>
      <c r="F1148" s="64"/>
      <c r="G1148" s="64"/>
      <c r="H1148" s="64"/>
      <c r="I1148" s="8"/>
      <c r="J1148" s="8"/>
      <c r="K1148" s="62"/>
      <c r="L1148" s="1"/>
    </row>
    <row r="1149" ht="15.6" spans="1:12">
      <c r="A1149" s="6"/>
      <c r="B1149" s="6"/>
      <c r="C1149" s="3"/>
      <c r="D1149" s="2"/>
      <c r="E1149" s="63"/>
      <c r="F1149" s="64"/>
      <c r="G1149" s="64"/>
      <c r="H1149" s="64"/>
      <c r="I1149" s="8"/>
      <c r="J1149" s="8"/>
      <c r="K1149" s="62"/>
      <c r="L1149" s="1"/>
    </row>
    <row r="1150" ht="15.6" spans="1:12">
      <c r="A1150" s="6"/>
      <c r="B1150" s="6"/>
      <c r="C1150" s="3"/>
      <c r="D1150" s="2"/>
      <c r="E1150" s="63"/>
      <c r="F1150" s="64"/>
      <c r="G1150" s="64"/>
      <c r="H1150" s="64"/>
      <c r="I1150" s="8"/>
      <c r="J1150" s="8"/>
      <c r="K1150" s="62"/>
      <c r="L1150" s="1"/>
    </row>
    <row r="1151" ht="15.6" spans="1:12">
      <c r="A1151" s="6"/>
      <c r="B1151" s="6"/>
      <c r="C1151" s="3"/>
      <c r="D1151" s="2"/>
      <c r="E1151" s="63"/>
      <c r="F1151" s="64"/>
      <c r="G1151" s="64"/>
      <c r="H1151" s="64"/>
      <c r="I1151" s="8"/>
      <c r="J1151" s="8"/>
      <c r="K1151" s="62"/>
      <c r="L1151" s="1"/>
    </row>
    <row r="1152" ht="15.6" spans="1:12">
      <c r="A1152" s="6"/>
      <c r="B1152" s="6"/>
      <c r="C1152" s="3"/>
      <c r="D1152" s="2"/>
      <c r="E1152" s="63"/>
      <c r="F1152" s="64"/>
      <c r="G1152" s="64"/>
      <c r="H1152" s="64"/>
      <c r="I1152" s="8"/>
      <c r="J1152" s="8"/>
      <c r="K1152" s="62"/>
      <c r="L1152" s="1"/>
    </row>
    <row r="1153" ht="15.6" spans="1:12">
      <c r="A1153" s="6"/>
      <c r="B1153" s="6"/>
      <c r="C1153" s="3"/>
      <c r="D1153" s="2"/>
      <c r="E1153" s="63"/>
      <c r="F1153" s="64"/>
      <c r="G1153" s="64"/>
      <c r="H1153" s="64"/>
      <c r="I1153" s="8"/>
      <c r="J1153" s="8"/>
      <c r="K1153" s="62"/>
      <c r="L1153" s="1"/>
    </row>
    <row r="1154" ht="15.6" spans="1:12">
      <c r="A1154" s="6"/>
      <c r="B1154" s="6"/>
      <c r="C1154" s="3"/>
      <c r="D1154" s="2"/>
      <c r="E1154" s="63"/>
      <c r="F1154" s="64"/>
      <c r="G1154" s="64"/>
      <c r="H1154" s="64"/>
      <c r="I1154" s="8"/>
      <c r="J1154" s="8"/>
      <c r="K1154" s="62"/>
      <c r="L1154" s="1"/>
    </row>
    <row r="1155" ht="15.6" spans="1:12">
      <c r="A1155" s="6"/>
      <c r="B1155" s="6"/>
      <c r="C1155" s="3"/>
      <c r="D1155" s="2"/>
      <c r="E1155" s="63"/>
      <c r="F1155" s="64"/>
      <c r="G1155" s="64"/>
      <c r="H1155" s="64"/>
      <c r="I1155" s="8"/>
      <c r="J1155" s="8"/>
      <c r="K1155" s="62"/>
      <c r="L1155" s="1"/>
    </row>
    <row r="1156" ht="15.6" spans="1:12">
      <c r="A1156" s="6"/>
      <c r="B1156" s="6"/>
      <c r="C1156" s="3"/>
      <c r="D1156" s="2"/>
      <c r="E1156" s="63"/>
      <c r="F1156" s="64"/>
      <c r="G1156" s="64"/>
      <c r="H1156" s="64"/>
      <c r="I1156" s="8"/>
      <c r="J1156" s="8"/>
      <c r="K1156" s="62"/>
      <c r="L1156" s="1"/>
    </row>
    <row r="1157" ht="15.6" spans="1:12">
      <c r="A1157" s="6"/>
      <c r="B1157" s="6"/>
      <c r="C1157" s="3"/>
      <c r="D1157" s="2"/>
      <c r="E1157" s="63"/>
      <c r="F1157" s="64"/>
      <c r="G1157" s="64"/>
      <c r="H1157" s="64"/>
      <c r="I1157" s="8"/>
      <c r="J1157" s="8"/>
      <c r="K1157" s="62"/>
      <c r="L1157" s="1"/>
    </row>
    <row r="1158" ht="15.6" spans="1:12">
      <c r="A1158" s="6"/>
      <c r="B1158" s="6"/>
      <c r="C1158" s="3"/>
      <c r="D1158" s="2"/>
      <c r="E1158" s="63"/>
      <c r="F1158" s="64"/>
      <c r="G1158" s="64"/>
      <c r="H1158" s="64"/>
      <c r="I1158" s="8"/>
      <c r="J1158" s="8"/>
      <c r="K1158" s="62"/>
      <c r="L1158" s="1"/>
    </row>
    <row r="1159" ht="15.6" spans="1:12">
      <c r="A1159" s="6"/>
      <c r="B1159" s="6"/>
      <c r="C1159" s="3"/>
      <c r="D1159" s="2"/>
      <c r="E1159" s="63"/>
      <c r="F1159" s="64"/>
      <c r="G1159" s="64"/>
      <c r="H1159" s="64"/>
      <c r="I1159" s="8"/>
      <c r="J1159" s="8"/>
      <c r="K1159" s="62"/>
      <c r="L1159" s="1"/>
    </row>
    <row r="1160" ht="15.6" spans="1:12">
      <c r="A1160" s="6"/>
      <c r="B1160" s="6"/>
      <c r="C1160" s="3"/>
      <c r="D1160" s="2"/>
      <c r="E1160" s="63"/>
      <c r="F1160" s="64"/>
      <c r="G1160" s="64"/>
      <c r="H1160" s="64"/>
      <c r="I1160" s="8"/>
      <c r="J1160" s="8"/>
      <c r="K1160" s="62"/>
      <c r="L1160" s="1"/>
    </row>
    <row r="1161" ht="15.6" spans="1:12">
      <c r="A1161" s="6"/>
      <c r="B1161" s="6"/>
      <c r="C1161" s="3"/>
      <c r="D1161" s="2"/>
      <c r="E1161" s="63"/>
      <c r="F1161" s="64"/>
      <c r="G1161" s="64"/>
      <c r="H1161" s="64"/>
      <c r="I1161" s="8"/>
      <c r="J1161" s="8"/>
      <c r="K1161" s="62"/>
      <c r="L1161" s="1"/>
    </row>
    <row r="1162" ht="15.6" spans="1:12">
      <c r="A1162" s="6"/>
      <c r="B1162" s="6"/>
      <c r="C1162" s="3"/>
      <c r="D1162" s="2"/>
      <c r="E1162" s="63"/>
      <c r="F1162" s="64"/>
      <c r="G1162" s="64"/>
      <c r="H1162" s="64"/>
      <c r="I1162" s="8"/>
      <c r="J1162" s="8"/>
      <c r="K1162" s="62"/>
      <c r="L1162" s="1"/>
    </row>
    <row r="1163" ht="15.6" spans="1:12">
      <c r="A1163" s="6"/>
      <c r="B1163" s="6"/>
      <c r="C1163" s="3"/>
      <c r="D1163" s="2"/>
      <c r="E1163" s="63"/>
      <c r="F1163" s="64"/>
      <c r="G1163" s="64"/>
      <c r="H1163" s="64"/>
      <c r="I1163" s="8"/>
      <c r="J1163" s="8"/>
      <c r="K1163" s="62"/>
      <c r="L1163" s="1"/>
    </row>
    <row r="1164" ht="15.6" spans="1:12">
      <c r="A1164" s="6"/>
      <c r="B1164" s="6"/>
      <c r="C1164" s="3"/>
      <c r="D1164" s="2"/>
      <c r="E1164" s="63"/>
      <c r="F1164" s="64"/>
      <c r="G1164" s="64"/>
      <c r="H1164" s="64"/>
      <c r="I1164" s="8"/>
      <c r="J1164" s="8"/>
      <c r="K1164" s="62"/>
      <c r="L1164" s="1"/>
    </row>
    <row r="1165" ht="15.6" spans="1:12">
      <c r="A1165" s="6"/>
      <c r="B1165" s="6"/>
      <c r="C1165" s="3"/>
      <c r="D1165" s="2"/>
      <c r="E1165" s="63"/>
      <c r="F1165" s="64"/>
      <c r="G1165" s="64"/>
      <c r="H1165" s="64"/>
      <c r="I1165" s="8"/>
      <c r="J1165" s="8"/>
      <c r="K1165" s="62"/>
      <c r="L1165" s="1"/>
    </row>
    <row r="1166" ht="15.6" spans="1:12">
      <c r="A1166" s="6"/>
      <c r="B1166" s="6"/>
      <c r="C1166" s="3"/>
      <c r="D1166" s="2"/>
      <c r="E1166" s="63"/>
      <c r="F1166" s="64"/>
      <c r="G1166" s="64"/>
      <c r="H1166" s="64"/>
      <c r="I1166" s="8"/>
      <c r="J1166" s="8"/>
      <c r="K1166" s="62"/>
      <c r="L1166" s="1"/>
    </row>
    <row r="1167" ht="15.6" spans="1:12">
      <c r="A1167" s="6"/>
      <c r="B1167" s="6"/>
      <c r="C1167" s="3"/>
      <c r="D1167" s="2"/>
      <c r="E1167" s="63"/>
      <c r="F1167" s="64"/>
      <c r="G1167" s="64"/>
      <c r="H1167" s="64"/>
      <c r="I1167" s="8"/>
      <c r="J1167" s="8"/>
      <c r="K1167" s="62"/>
      <c r="L1167" s="1"/>
    </row>
    <row r="1168" ht="15.6" spans="1:12">
      <c r="A1168" s="6"/>
      <c r="B1168" s="6"/>
      <c r="C1168" s="3"/>
      <c r="D1168" s="2"/>
      <c r="E1168" s="63"/>
      <c r="F1168" s="64"/>
      <c r="G1168" s="64"/>
      <c r="H1168" s="64"/>
      <c r="I1168" s="8"/>
      <c r="J1168" s="8"/>
      <c r="K1168" s="62"/>
      <c r="L1168" s="1"/>
    </row>
    <row r="1169" ht="15.6" spans="1:12">
      <c r="A1169" s="6"/>
      <c r="B1169" s="6"/>
      <c r="C1169" s="3"/>
      <c r="D1169" s="2"/>
      <c r="E1169" s="63"/>
      <c r="F1169" s="64"/>
      <c r="G1169" s="64"/>
      <c r="H1169" s="64"/>
      <c r="I1169" s="8"/>
      <c r="J1169" s="8"/>
      <c r="K1169" s="62"/>
      <c r="L1169" s="1"/>
    </row>
    <row r="1170" ht="15.6" spans="1:12">
      <c r="A1170" s="6"/>
      <c r="B1170" s="6"/>
      <c r="C1170" s="3"/>
      <c r="D1170" s="2"/>
      <c r="E1170" s="63"/>
      <c r="F1170" s="64"/>
      <c r="G1170" s="64"/>
      <c r="H1170" s="64"/>
      <c r="I1170" s="8"/>
      <c r="J1170" s="8"/>
      <c r="K1170" s="62"/>
      <c r="L1170" s="1"/>
    </row>
    <row r="1171" ht="15.6" spans="1:12">
      <c r="A1171" s="6"/>
      <c r="B1171" s="6"/>
      <c r="C1171" s="3"/>
      <c r="D1171" s="2"/>
      <c r="E1171" s="63"/>
      <c r="F1171" s="64"/>
      <c r="G1171" s="64"/>
      <c r="H1171" s="64"/>
      <c r="I1171" s="8"/>
      <c r="J1171" s="8"/>
      <c r="K1171" s="62"/>
      <c r="L1171" s="1"/>
    </row>
    <row r="1172" ht="15.6" spans="1:12">
      <c r="A1172" s="6"/>
      <c r="B1172" s="6"/>
      <c r="C1172" s="3"/>
      <c r="D1172" s="2"/>
      <c r="E1172" s="63"/>
      <c r="F1172" s="64"/>
      <c r="G1172" s="64"/>
      <c r="H1172" s="64"/>
      <c r="I1172" s="8"/>
      <c r="J1172" s="8"/>
      <c r="K1172" s="62"/>
      <c r="L1172" s="1"/>
    </row>
    <row r="1173" ht="15.6" spans="1:12">
      <c r="A1173" s="6"/>
      <c r="B1173" s="6"/>
      <c r="C1173" s="3"/>
      <c r="D1173" s="2"/>
      <c r="E1173" s="63"/>
      <c r="F1173" s="64"/>
      <c r="G1173" s="64"/>
      <c r="H1173" s="64"/>
      <c r="I1173" s="8"/>
      <c r="J1173" s="8"/>
      <c r="K1173" s="62"/>
      <c r="L1173" s="1"/>
    </row>
    <row r="1174" ht="15.6" spans="1:12">
      <c r="A1174" s="6"/>
      <c r="B1174" s="6"/>
      <c r="C1174" s="3"/>
      <c r="D1174" s="2"/>
      <c r="E1174" s="63"/>
      <c r="F1174" s="64"/>
      <c r="G1174" s="64"/>
      <c r="H1174" s="64"/>
      <c r="I1174" s="8"/>
      <c r="J1174" s="8"/>
      <c r="K1174" s="62"/>
      <c r="L1174" s="1"/>
    </row>
    <row r="1175" ht="15.6" spans="1:12">
      <c r="A1175" s="6"/>
      <c r="B1175" s="6"/>
      <c r="C1175" s="3"/>
      <c r="D1175" s="2"/>
      <c r="E1175" s="63"/>
      <c r="F1175" s="64"/>
      <c r="G1175" s="64"/>
      <c r="H1175" s="64"/>
      <c r="I1175" s="8"/>
      <c r="J1175" s="8"/>
      <c r="K1175" s="62"/>
      <c r="L1175" s="1"/>
    </row>
    <row r="1176" ht="15.6" spans="1:12">
      <c r="A1176" s="6"/>
      <c r="B1176" s="6"/>
      <c r="C1176" s="3"/>
      <c r="D1176" s="2"/>
      <c r="E1176" s="63"/>
      <c r="F1176" s="64"/>
      <c r="G1176" s="64"/>
      <c r="H1176" s="64"/>
      <c r="I1176" s="8"/>
      <c r="J1176" s="8"/>
      <c r="K1176" s="62"/>
      <c r="L1176" s="1"/>
    </row>
    <row r="1177" ht="15.6" spans="1:12">
      <c r="A1177" s="6"/>
      <c r="B1177" s="6"/>
      <c r="C1177" s="3"/>
      <c r="D1177" s="2"/>
      <c r="E1177" s="63"/>
      <c r="F1177" s="64"/>
      <c r="G1177" s="64"/>
      <c r="H1177" s="64"/>
      <c r="I1177" s="8"/>
      <c r="J1177" s="8"/>
      <c r="K1177" s="62"/>
      <c r="L1177" s="1"/>
    </row>
    <row r="1178" ht="15.6" spans="1:12">
      <c r="A1178" s="6"/>
      <c r="B1178" s="6"/>
      <c r="C1178" s="3"/>
      <c r="D1178" s="2"/>
      <c r="E1178" s="63"/>
      <c r="F1178" s="64"/>
      <c r="G1178" s="64"/>
      <c r="H1178" s="64"/>
      <c r="I1178" s="8"/>
      <c r="J1178" s="8"/>
      <c r="K1178" s="62"/>
      <c r="L1178" s="1"/>
    </row>
    <row r="1179" ht="15.6" spans="1:12">
      <c r="A1179" s="6"/>
      <c r="B1179" s="6"/>
      <c r="C1179" s="3"/>
      <c r="D1179" s="2"/>
      <c r="E1179" s="63"/>
      <c r="F1179" s="64"/>
      <c r="G1179" s="64"/>
      <c r="H1179" s="64"/>
      <c r="I1179" s="8"/>
      <c r="J1179" s="8"/>
      <c r="K1179" s="62"/>
      <c r="L1179" s="1"/>
    </row>
    <row r="1180" ht="15.6" spans="1:12">
      <c r="A1180" s="6"/>
      <c r="B1180" s="6"/>
      <c r="C1180" s="3"/>
      <c r="D1180" s="2"/>
      <c r="E1180" s="63"/>
      <c r="F1180" s="64"/>
      <c r="G1180" s="64"/>
      <c r="H1180" s="64"/>
      <c r="I1180" s="8"/>
      <c r="J1180" s="8"/>
      <c r="K1180" s="62"/>
      <c r="L1180" s="1"/>
    </row>
    <row r="1181" ht="15.6" spans="1:12">
      <c r="A1181" s="6"/>
      <c r="B1181" s="6"/>
      <c r="C1181" s="3"/>
      <c r="D1181" s="2"/>
      <c r="E1181" s="63"/>
      <c r="F1181" s="64"/>
      <c r="G1181" s="64"/>
      <c r="H1181" s="64"/>
      <c r="I1181" s="8"/>
      <c r="J1181" s="8"/>
      <c r="K1181" s="62"/>
      <c r="L1181" s="1"/>
    </row>
    <row r="1182" ht="15.6" spans="1:12">
      <c r="A1182" s="6"/>
      <c r="B1182" s="6"/>
      <c r="C1182" s="3"/>
      <c r="D1182" s="2"/>
      <c r="E1182" s="63"/>
      <c r="F1182" s="64"/>
      <c r="G1182" s="64"/>
      <c r="H1182" s="64"/>
      <c r="I1182" s="8"/>
      <c r="J1182" s="8"/>
      <c r="K1182" s="62"/>
      <c r="L1182" s="1"/>
    </row>
    <row r="1183" ht="15.6" spans="1:12">
      <c r="A1183" s="6"/>
      <c r="B1183" s="6"/>
      <c r="C1183" s="3"/>
      <c r="D1183" s="2"/>
      <c r="E1183" s="63"/>
      <c r="F1183" s="64"/>
      <c r="G1183" s="64"/>
      <c r="H1183" s="64"/>
      <c r="I1183" s="8"/>
      <c r="J1183" s="8"/>
      <c r="K1183" s="62"/>
      <c r="L1183" s="1"/>
    </row>
    <row r="1184" ht="15.6" spans="1:12">
      <c r="A1184" s="6"/>
      <c r="B1184" s="6"/>
      <c r="C1184" s="3"/>
      <c r="D1184" s="2"/>
      <c r="E1184" s="63"/>
      <c r="F1184" s="64"/>
      <c r="G1184" s="64"/>
      <c r="H1184" s="64"/>
      <c r="I1184" s="8"/>
      <c r="J1184" s="8"/>
      <c r="K1184" s="62"/>
      <c r="L1184" s="1"/>
    </row>
    <row r="1185" ht="15.6" spans="1:12">
      <c r="A1185" s="6"/>
      <c r="B1185" s="6"/>
      <c r="C1185" s="3"/>
      <c r="D1185" s="2"/>
      <c r="E1185" s="63"/>
      <c r="F1185" s="64"/>
      <c r="G1185" s="64"/>
      <c r="H1185" s="64"/>
      <c r="I1185" s="8"/>
      <c r="J1185" s="8"/>
      <c r="K1185" s="62"/>
      <c r="L1185" s="1"/>
    </row>
    <row r="1186" ht="15.6" spans="1:12">
      <c r="A1186" s="6"/>
      <c r="B1186" s="6"/>
      <c r="C1186" s="3"/>
      <c r="D1186" s="2"/>
      <c r="E1186" s="63"/>
      <c r="F1186" s="64"/>
      <c r="G1186" s="64"/>
      <c r="H1186" s="64"/>
      <c r="I1186" s="8"/>
      <c r="J1186" s="8"/>
      <c r="K1186" s="62"/>
      <c r="L1186" s="1"/>
    </row>
    <row r="1187" ht="15.6" spans="1:12">
      <c r="A1187" s="6"/>
      <c r="B1187" s="6"/>
      <c r="C1187" s="3"/>
      <c r="D1187" s="2"/>
      <c r="E1187" s="63"/>
      <c r="F1187" s="64"/>
      <c r="G1187" s="64"/>
      <c r="H1187" s="64"/>
      <c r="I1187" s="8"/>
      <c r="J1187" s="8"/>
      <c r="K1187" s="62"/>
      <c r="L1187" s="1"/>
    </row>
    <row r="1188" ht="15.6" spans="1:12">
      <c r="A1188" s="6"/>
      <c r="B1188" s="6"/>
      <c r="C1188" s="3"/>
      <c r="D1188" s="2"/>
      <c r="E1188" s="63"/>
      <c r="F1188" s="64"/>
      <c r="G1188" s="64"/>
      <c r="H1188" s="64"/>
      <c r="I1188" s="8"/>
      <c r="J1188" s="8"/>
      <c r="K1188" s="62"/>
      <c r="L1188" s="1"/>
    </row>
    <row r="1189" ht="15.6" spans="1:12">
      <c r="A1189" s="6"/>
      <c r="B1189" s="6"/>
      <c r="C1189" s="3"/>
      <c r="D1189" s="2"/>
      <c r="E1189" s="63"/>
      <c r="F1189" s="64"/>
      <c r="G1189" s="64"/>
      <c r="H1189" s="64"/>
      <c r="I1189" s="8"/>
      <c r="J1189" s="8"/>
      <c r="K1189" s="62"/>
      <c r="L1189" s="1"/>
    </row>
    <row r="1190" ht="15.6" spans="1:12">
      <c r="A1190" s="6"/>
      <c r="B1190" s="6"/>
      <c r="C1190" s="3"/>
      <c r="D1190" s="2"/>
      <c r="E1190" s="63"/>
      <c r="F1190" s="64"/>
      <c r="G1190" s="64"/>
      <c r="H1190" s="64"/>
      <c r="I1190" s="8"/>
      <c r="J1190" s="8"/>
      <c r="K1190" s="62"/>
      <c r="L1190" s="1"/>
    </row>
    <row r="1191" ht="15.6" spans="1:12">
      <c r="A1191" s="6"/>
      <c r="B1191" s="6"/>
      <c r="C1191" s="3"/>
      <c r="D1191" s="2"/>
      <c r="E1191" s="63"/>
      <c r="F1191" s="64"/>
      <c r="G1191" s="64"/>
      <c r="H1191" s="64"/>
      <c r="I1191" s="8"/>
      <c r="J1191" s="8"/>
      <c r="K1191" s="62"/>
      <c r="L1191" s="1"/>
    </row>
    <row r="1192" ht="15.6" spans="1:12">
      <c r="A1192" s="6"/>
      <c r="B1192" s="6"/>
      <c r="C1192" s="3"/>
      <c r="D1192" s="2"/>
      <c r="E1192" s="63"/>
      <c r="F1192" s="64"/>
      <c r="G1192" s="64"/>
      <c r="H1192" s="64"/>
      <c r="I1192" s="8"/>
      <c r="J1192" s="8"/>
      <c r="K1192" s="62"/>
      <c r="L1192" s="1"/>
    </row>
    <row r="1193" ht="15.6" spans="1:12">
      <c r="A1193" s="6"/>
      <c r="B1193" s="6"/>
      <c r="C1193" s="3"/>
      <c r="D1193" s="2"/>
      <c r="E1193" s="63"/>
      <c r="F1193" s="64"/>
      <c r="G1193" s="64"/>
      <c r="H1193" s="64"/>
      <c r="I1193" s="8"/>
      <c r="J1193" s="8"/>
      <c r="K1193" s="62"/>
      <c r="L1193" s="1"/>
    </row>
    <row r="1194" ht="15.6" spans="1:12">
      <c r="A1194" s="6"/>
      <c r="B1194" s="6"/>
      <c r="C1194" s="3"/>
      <c r="D1194" s="2"/>
      <c r="E1194" s="63"/>
      <c r="F1194" s="64"/>
      <c r="G1194" s="64"/>
      <c r="H1194" s="64"/>
      <c r="I1194" s="8"/>
      <c r="J1194" s="8"/>
      <c r="K1194" s="62"/>
      <c r="L1194" s="1"/>
    </row>
    <row r="1195" ht="15.6" spans="1:12">
      <c r="A1195" s="6"/>
      <c r="B1195" s="6"/>
      <c r="C1195" s="3"/>
      <c r="D1195" s="2"/>
      <c r="E1195" s="63"/>
      <c r="F1195" s="64"/>
      <c r="G1195" s="64"/>
      <c r="H1195" s="64"/>
      <c r="I1195" s="8"/>
      <c r="J1195" s="8"/>
      <c r="K1195" s="62"/>
      <c r="L1195" s="1"/>
    </row>
    <row r="1196" ht="15.6" spans="1:12">
      <c r="A1196" s="6"/>
      <c r="B1196" s="6"/>
      <c r="C1196" s="3"/>
      <c r="D1196" s="2"/>
      <c r="E1196" s="63"/>
      <c r="F1196" s="64"/>
      <c r="G1196" s="64"/>
      <c r="H1196" s="64"/>
      <c r="I1196" s="8"/>
      <c r="J1196" s="8"/>
      <c r="K1196" s="62"/>
      <c r="L1196" s="1"/>
    </row>
    <row r="1197" ht="15.6" spans="1:12">
      <c r="A1197" s="6"/>
      <c r="B1197" s="6"/>
      <c r="C1197" s="3"/>
      <c r="D1197" s="2"/>
      <c r="E1197" s="63"/>
      <c r="F1197" s="64"/>
      <c r="G1197" s="64"/>
      <c r="H1197" s="64"/>
      <c r="I1197" s="8"/>
      <c r="J1197" s="8"/>
      <c r="K1197" s="62"/>
      <c r="L1197" s="1"/>
    </row>
    <row r="1198" ht="15.6" spans="1:12">
      <c r="A1198" s="6"/>
      <c r="B1198" s="6"/>
      <c r="C1198" s="3"/>
      <c r="D1198" s="2"/>
      <c r="E1198" s="63"/>
      <c r="F1198" s="64"/>
      <c r="G1198" s="64"/>
      <c r="H1198" s="64"/>
      <c r="I1198" s="8"/>
      <c r="J1198" s="8"/>
      <c r="K1198" s="62"/>
      <c r="L1198" s="1"/>
    </row>
    <row r="1199" ht="15.6" spans="1:12">
      <c r="A1199" s="6"/>
      <c r="B1199" s="6"/>
      <c r="C1199" s="3"/>
      <c r="D1199" s="2"/>
      <c r="E1199" s="63"/>
      <c r="F1199" s="64"/>
      <c r="G1199" s="64"/>
      <c r="H1199" s="64"/>
      <c r="I1199" s="8"/>
      <c r="J1199" s="8"/>
      <c r="K1199" s="62"/>
      <c r="L1199" s="1"/>
    </row>
    <row r="1200" ht="15.6" spans="1:12">
      <c r="A1200" s="6"/>
      <c r="B1200" s="6"/>
      <c r="C1200" s="3"/>
      <c r="D1200" s="2"/>
      <c r="E1200" s="63"/>
      <c r="F1200" s="64"/>
      <c r="G1200" s="64"/>
      <c r="H1200" s="64"/>
      <c r="I1200" s="8"/>
      <c r="J1200" s="8"/>
      <c r="K1200" s="62"/>
      <c r="L1200" s="1"/>
    </row>
    <row r="1201" ht="15.6" spans="1:12">
      <c r="A1201" s="6"/>
      <c r="B1201" s="6"/>
      <c r="C1201" s="3"/>
      <c r="D1201" s="2"/>
      <c r="E1201" s="63"/>
      <c r="F1201" s="64"/>
      <c r="G1201" s="64"/>
      <c r="H1201" s="64"/>
      <c r="I1201" s="8"/>
      <c r="J1201" s="8"/>
      <c r="K1201" s="62"/>
      <c r="L1201" s="1"/>
    </row>
    <row r="1202" ht="15.6" spans="1:12">
      <c r="A1202" s="6"/>
      <c r="B1202" s="6"/>
      <c r="C1202" s="3"/>
      <c r="D1202" s="2"/>
      <c r="E1202" s="63"/>
      <c r="F1202" s="64"/>
      <c r="G1202" s="64"/>
      <c r="H1202" s="64"/>
      <c r="I1202" s="8"/>
      <c r="J1202" s="8"/>
      <c r="K1202" s="62"/>
      <c r="L1202" s="1"/>
    </row>
    <row r="1203" ht="15.6" spans="1:12">
      <c r="A1203" s="6"/>
      <c r="B1203" s="6"/>
      <c r="C1203" s="3"/>
      <c r="D1203" s="2"/>
      <c r="E1203" s="63"/>
      <c r="F1203" s="64"/>
      <c r="G1203" s="64"/>
      <c r="H1203" s="64"/>
      <c r="I1203" s="8"/>
      <c r="J1203" s="8"/>
      <c r="K1203" s="62"/>
      <c r="L1203" s="1"/>
    </row>
    <row r="1204" ht="15.6" spans="1:12">
      <c r="A1204" s="6"/>
      <c r="B1204" s="6"/>
      <c r="C1204" s="3"/>
      <c r="D1204" s="2"/>
      <c r="E1204" s="63"/>
      <c r="F1204" s="64"/>
      <c r="G1204" s="64"/>
      <c r="H1204" s="64"/>
      <c r="I1204" s="8"/>
      <c r="J1204" s="8"/>
      <c r="K1204" s="62"/>
      <c r="L1204" s="1"/>
    </row>
    <row r="1205" ht="15.6" spans="1:12">
      <c r="A1205" s="6"/>
      <c r="B1205" s="6"/>
      <c r="C1205" s="3"/>
      <c r="D1205" s="2"/>
      <c r="E1205" s="63"/>
      <c r="F1205" s="64"/>
      <c r="G1205" s="64"/>
      <c r="H1205" s="64"/>
      <c r="I1205" s="8"/>
      <c r="J1205" s="8"/>
      <c r="K1205" s="62"/>
      <c r="L1205" s="1"/>
    </row>
    <row r="1206" ht="15.6" spans="1:12">
      <c r="A1206" s="6"/>
      <c r="B1206" s="6"/>
      <c r="C1206" s="3"/>
      <c r="D1206" s="2"/>
      <c r="E1206" s="63"/>
      <c r="F1206" s="64"/>
      <c r="G1206" s="64"/>
      <c r="H1206" s="64"/>
      <c r="I1206" s="8"/>
      <c r="J1206" s="8"/>
      <c r="K1206" s="62"/>
      <c r="L1206" s="1"/>
    </row>
    <row r="1207" ht="15.6" spans="1:12">
      <c r="A1207" s="6"/>
      <c r="B1207" s="6"/>
      <c r="C1207" s="3"/>
      <c r="D1207" s="2"/>
      <c r="E1207" s="63"/>
      <c r="F1207" s="64"/>
      <c r="G1207" s="64"/>
      <c r="H1207" s="64"/>
      <c r="I1207" s="8"/>
      <c r="J1207" s="8"/>
      <c r="K1207" s="62"/>
      <c r="L1207" s="1"/>
    </row>
    <row r="1208" ht="15.6" spans="1:12">
      <c r="A1208" s="6"/>
      <c r="B1208" s="6"/>
      <c r="C1208" s="3"/>
      <c r="D1208" s="2"/>
      <c r="E1208" s="63"/>
      <c r="F1208" s="64"/>
      <c r="G1208" s="64"/>
      <c r="H1208" s="64"/>
      <c r="I1208" s="8"/>
      <c r="J1208" s="8"/>
      <c r="K1208" s="62"/>
      <c r="L1208" s="1"/>
    </row>
    <row r="1209" ht="15.6" spans="1:12">
      <c r="A1209" s="6"/>
      <c r="B1209" s="6"/>
      <c r="C1209" s="3"/>
      <c r="D1209" s="2"/>
      <c r="E1209" s="63"/>
      <c r="F1209" s="64"/>
      <c r="G1209" s="64"/>
      <c r="H1209" s="64"/>
      <c r="I1209" s="8"/>
      <c r="J1209" s="8"/>
      <c r="K1209" s="62"/>
      <c r="L1209" s="1"/>
    </row>
    <row r="1210" ht="15.6" spans="1:12">
      <c r="A1210" s="6"/>
      <c r="B1210" s="6"/>
      <c r="C1210" s="3"/>
      <c r="D1210" s="2"/>
      <c r="E1210" s="63"/>
      <c r="F1210" s="64"/>
      <c r="G1210" s="64"/>
      <c r="H1210" s="64"/>
      <c r="I1210" s="8"/>
      <c r="J1210" s="8"/>
      <c r="K1210" s="62"/>
      <c r="L1210" s="1"/>
    </row>
    <row r="1211" ht="15.6" spans="1:12">
      <c r="A1211" s="6"/>
      <c r="B1211" s="6"/>
      <c r="C1211" s="3"/>
      <c r="D1211" s="2"/>
      <c r="E1211" s="63"/>
      <c r="F1211" s="64"/>
      <c r="G1211" s="64"/>
      <c r="H1211" s="64"/>
      <c r="I1211" s="8"/>
      <c r="J1211" s="8"/>
      <c r="K1211" s="62"/>
      <c r="L1211" s="1"/>
    </row>
    <row r="1212" ht="15.6" spans="1:12">
      <c r="A1212" s="6"/>
      <c r="B1212" s="6"/>
      <c r="C1212" s="3"/>
      <c r="D1212" s="2"/>
      <c r="E1212" s="63"/>
      <c r="F1212" s="64"/>
      <c r="G1212" s="64"/>
      <c r="H1212" s="64"/>
      <c r="I1212" s="8"/>
      <c r="J1212" s="8"/>
      <c r="K1212" s="62"/>
      <c r="L1212" s="1"/>
    </row>
    <row r="1213" ht="15.6" spans="1:12">
      <c r="A1213" s="6"/>
      <c r="B1213" s="6"/>
      <c r="C1213" s="3"/>
      <c r="D1213" s="2"/>
      <c r="E1213" s="63"/>
      <c r="F1213" s="64"/>
      <c r="G1213" s="64"/>
      <c r="H1213" s="64"/>
      <c r="I1213" s="8"/>
      <c r="J1213" s="8"/>
      <c r="K1213" s="62"/>
      <c r="L1213" s="1"/>
    </row>
    <row r="1214" ht="15.6" spans="1:12">
      <c r="A1214" s="6"/>
      <c r="B1214" s="6"/>
      <c r="C1214" s="3"/>
      <c r="D1214" s="2"/>
      <c r="E1214" s="63"/>
      <c r="F1214" s="64"/>
      <c r="G1214" s="64"/>
      <c r="H1214" s="64"/>
      <c r="I1214" s="8"/>
      <c r="J1214" s="8"/>
      <c r="K1214" s="62"/>
      <c r="L1214" s="1"/>
    </row>
    <row r="1215" ht="15.6" spans="1:12">
      <c r="A1215" s="6"/>
      <c r="B1215" s="6"/>
      <c r="C1215" s="3"/>
      <c r="D1215" s="2"/>
      <c r="E1215" s="63"/>
      <c r="F1215" s="64"/>
      <c r="G1215" s="64"/>
      <c r="H1215" s="64"/>
      <c r="I1215" s="8"/>
      <c r="J1215" s="8"/>
      <c r="K1215" s="62"/>
      <c r="L1215" s="1"/>
    </row>
    <row r="1216" ht="15.6" spans="1:12">
      <c r="A1216" s="6"/>
      <c r="B1216" s="6"/>
      <c r="C1216" s="3"/>
      <c r="D1216" s="2"/>
      <c r="E1216" s="63"/>
      <c r="F1216" s="64"/>
      <c r="G1216" s="64"/>
      <c r="H1216" s="64"/>
      <c r="I1216" s="8"/>
      <c r="J1216" s="8"/>
      <c r="K1216" s="62"/>
      <c r="L1216" s="1"/>
    </row>
    <row r="1217" ht="15.6" spans="1:12">
      <c r="A1217" s="6"/>
      <c r="B1217" s="6"/>
      <c r="C1217" s="3"/>
      <c r="D1217" s="2"/>
      <c r="E1217" s="63"/>
      <c r="F1217" s="64"/>
      <c r="G1217" s="64"/>
      <c r="H1217" s="64"/>
      <c r="I1217" s="8"/>
      <c r="J1217" s="8"/>
      <c r="K1217" s="62"/>
      <c r="L1217" s="1"/>
    </row>
    <row r="1218" ht="15.6" spans="1:12">
      <c r="A1218" s="6"/>
      <c r="B1218" s="6"/>
      <c r="C1218" s="3"/>
      <c r="D1218" s="2"/>
      <c r="E1218" s="63"/>
      <c r="F1218" s="64"/>
      <c r="G1218" s="64"/>
      <c r="H1218" s="64"/>
      <c r="I1218" s="8"/>
      <c r="J1218" s="8"/>
      <c r="K1218" s="62"/>
      <c r="L1218" s="1"/>
    </row>
    <row r="1219" ht="15.6" spans="1:12">
      <c r="A1219" s="6"/>
      <c r="B1219" s="6"/>
      <c r="C1219" s="3"/>
      <c r="D1219" s="2"/>
      <c r="E1219" s="63"/>
      <c r="F1219" s="64"/>
      <c r="G1219" s="64"/>
      <c r="H1219" s="64"/>
      <c r="I1219" s="8"/>
      <c r="J1219" s="8"/>
      <c r="K1219" s="62"/>
      <c r="L1219" s="1"/>
    </row>
    <row r="1220" ht="15.6" spans="1:12">
      <c r="A1220" s="6"/>
      <c r="B1220" s="6"/>
      <c r="C1220" s="3"/>
      <c r="D1220" s="2"/>
      <c r="E1220" s="63"/>
      <c r="F1220" s="64"/>
      <c r="G1220" s="64"/>
      <c r="H1220" s="64"/>
      <c r="I1220" s="8"/>
      <c r="J1220" s="8"/>
      <c r="K1220" s="62"/>
      <c r="L1220" s="1"/>
    </row>
    <row r="1221" ht="15.6" spans="1:12">
      <c r="A1221" s="6"/>
      <c r="B1221" s="6"/>
      <c r="C1221" s="3"/>
      <c r="D1221" s="2"/>
      <c r="E1221" s="63"/>
      <c r="F1221" s="64"/>
      <c r="G1221" s="64"/>
      <c r="H1221" s="64"/>
      <c r="I1221" s="8"/>
      <c r="J1221" s="8"/>
      <c r="K1221" s="62"/>
      <c r="L1221" s="1"/>
    </row>
    <row r="1222" ht="15.6" spans="1:12">
      <c r="A1222" s="6"/>
      <c r="B1222" s="6"/>
      <c r="C1222" s="3"/>
      <c r="D1222" s="2"/>
      <c r="E1222" s="63"/>
      <c r="F1222" s="64"/>
      <c r="G1222" s="64"/>
      <c r="H1222" s="64"/>
      <c r="I1222" s="8"/>
      <c r="J1222" s="8"/>
      <c r="K1222" s="62"/>
      <c r="L1222" s="1"/>
    </row>
    <row r="1223" ht="15.6" spans="1:12">
      <c r="A1223" s="6"/>
      <c r="B1223" s="6"/>
      <c r="C1223" s="3"/>
      <c r="D1223" s="2"/>
      <c r="E1223" s="63"/>
      <c r="F1223" s="64"/>
      <c r="G1223" s="64"/>
      <c r="H1223" s="64"/>
      <c r="I1223" s="8"/>
      <c r="J1223" s="8"/>
      <c r="K1223" s="62"/>
      <c r="L1223" s="1"/>
    </row>
    <row r="1224" ht="15.6" spans="1:12">
      <c r="A1224" s="6"/>
      <c r="B1224" s="6"/>
      <c r="C1224" s="3"/>
      <c r="D1224" s="2"/>
      <c r="E1224" s="63"/>
      <c r="F1224" s="64"/>
      <c r="G1224" s="64"/>
      <c r="H1224" s="64"/>
      <c r="I1224" s="8"/>
      <c r="J1224" s="8"/>
      <c r="K1224" s="62"/>
      <c r="L1224" s="1"/>
    </row>
    <row r="1225" ht="15.6" spans="1:12">
      <c r="A1225" s="6"/>
      <c r="B1225" s="6"/>
      <c r="C1225" s="3"/>
      <c r="D1225" s="2"/>
      <c r="E1225" s="63"/>
      <c r="F1225" s="64"/>
      <c r="G1225" s="64"/>
      <c r="H1225" s="64"/>
      <c r="I1225" s="8"/>
      <c r="J1225" s="8"/>
      <c r="K1225" s="62"/>
      <c r="L1225" s="1"/>
    </row>
    <row r="1226" ht="15.6" spans="1:12">
      <c r="A1226" s="6"/>
      <c r="B1226" s="6"/>
      <c r="C1226" s="3"/>
      <c r="D1226" s="2"/>
      <c r="E1226" s="63"/>
      <c r="F1226" s="64"/>
      <c r="G1226" s="64"/>
      <c r="H1226" s="64"/>
      <c r="I1226" s="8"/>
      <c r="J1226" s="8"/>
      <c r="K1226" s="62"/>
      <c r="L1226" s="1"/>
    </row>
    <row r="1227" ht="15.6" spans="1:12">
      <c r="A1227" s="6"/>
      <c r="B1227" s="6"/>
      <c r="C1227" s="3"/>
      <c r="D1227" s="2"/>
      <c r="E1227" s="63"/>
      <c r="F1227" s="64"/>
      <c r="G1227" s="64"/>
      <c r="H1227" s="64"/>
      <c r="I1227" s="8"/>
      <c r="J1227" s="8"/>
      <c r="K1227" s="62"/>
      <c r="L1227" s="1"/>
    </row>
    <row r="1228" ht="15.6" spans="1:12">
      <c r="A1228" s="6"/>
      <c r="B1228" s="6"/>
      <c r="C1228" s="3"/>
      <c r="D1228" s="2"/>
      <c r="E1228" s="63"/>
      <c r="F1228" s="64"/>
      <c r="G1228" s="64"/>
      <c r="H1228" s="64"/>
      <c r="I1228" s="8"/>
      <c r="J1228" s="8"/>
      <c r="K1228" s="62"/>
      <c r="L1228" s="1"/>
    </row>
    <row r="1229" ht="15.6" spans="1:12">
      <c r="A1229" s="6"/>
      <c r="B1229" s="6"/>
      <c r="C1229" s="3"/>
      <c r="D1229" s="2"/>
      <c r="E1229" s="63"/>
      <c r="F1229" s="64"/>
      <c r="G1229" s="64"/>
      <c r="H1229" s="64"/>
      <c r="I1229" s="8"/>
      <c r="J1229" s="8"/>
      <c r="K1229" s="62"/>
      <c r="L1229" s="1"/>
    </row>
    <row r="1230" ht="15.6" spans="1:12">
      <c r="A1230" s="6"/>
      <c r="B1230" s="6"/>
      <c r="C1230" s="3"/>
      <c r="D1230" s="2"/>
      <c r="E1230" s="63"/>
      <c r="F1230" s="64"/>
      <c r="G1230" s="64"/>
      <c r="H1230" s="64"/>
      <c r="I1230" s="8"/>
      <c r="J1230" s="8"/>
      <c r="K1230" s="62"/>
      <c r="L1230" s="1"/>
    </row>
    <row r="1231" ht="15.6" spans="1:12">
      <c r="A1231" s="6"/>
      <c r="B1231" s="6"/>
      <c r="C1231" s="3"/>
      <c r="D1231" s="2"/>
      <c r="E1231" s="63"/>
      <c r="F1231" s="64"/>
      <c r="G1231" s="64"/>
      <c r="H1231" s="64"/>
      <c r="I1231" s="8"/>
      <c r="J1231" s="8"/>
      <c r="K1231" s="62"/>
      <c r="L1231" s="1"/>
    </row>
    <row r="1232" ht="15.6" spans="1:12">
      <c r="A1232" s="6"/>
      <c r="B1232" s="6"/>
      <c r="C1232" s="3"/>
      <c r="D1232" s="2"/>
      <c r="E1232" s="63"/>
      <c r="F1232" s="64"/>
      <c r="G1232" s="64"/>
      <c r="H1232" s="64"/>
      <c r="I1232" s="8"/>
      <c r="J1232" s="8"/>
      <c r="K1232" s="62"/>
      <c r="L1232" s="1"/>
    </row>
    <row r="1233" ht="15.6" spans="1:12">
      <c r="A1233" s="6"/>
      <c r="B1233" s="6"/>
      <c r="C1233" s="3"/>
      <c r="D1233" s="2"/>
      <c r="E1233" s="63"/>
      <c r="F1233" s="64"/>
      <c r="G1233" s="64"/>
      <c r="H1233" s="64"/>
      <c r="I1233" s="8"/>
      <c r="J1233" s="8"/>
      <c r="K1233" s="62"/>
      <c r="L1233" s="1"/>
    </row>
    <row r="1234" ht="15.6" spans="1:12">
      <c r="A1234" s="6"/>
      <c r="B1234" s="6"/>
      <c r="C1234" s="3"/>
      <c r="D1234" s="2"/>
      <c r="E1234" s="63"/>
      <c r="F1234" s="64"/>
      <c r="G1234" s="64"/>
      <c r="H1234" s="64"/>
      <c r="I1234" s="8"/>
      <c r="J1234" s="8"/>
      <c r="K1234" s="62"/>
      <c r="L1234" s="1"/>
    </row>
    <row r="1235" ht="15.6" spans="1:12">
      <c r="A1235" s="6"/>
      <c r="B1235" s="6"/>
      <c r="C1235" s="3"/>
      <c r="D1235" s="2"/>
      <c r="E1235" s="63"/>
      <c r="F1235" s="64"/>
      <c r="G1235" s="64"/>
      <c r="H1235" s="64"/>
      <c r="I1235" s="8"/>
      <c r="J1235" s="8"/>
      <c r="K1235" s="62"/>
      <c r="L1235" s="1"/>
    </row>
    <row r="1236" ht="15.6" spans="1:12">
      <c r="A1236" s="6"/>
      <c r="B1236" s="6"/>
      <c r="C1236" s="3"/>
      <c r="D1236" s="2"/>
      <c r="E1236" s="63"/>
      <c r="F1236" s="64"/>
      <c r="G1236" s="64"/>
      <c r="H1236" s="64"/>
      <c r="I1236" s="8"/>
      <c r="J1236" s="8"/>
      <c r="K1236" s="62"/>
      <c r="L1236" s="1"/>
    </row>
    <row r="1237" ht="15.6" spans="1:12">
      <c r="A1237" s="6"/>
      <c r="B1237" s="6"/>
      <c r="C1237" s="3"/>
      <c r="D1237" s="2"/>
      <c r="E1237" s="63"/>
      <c r="F1237" s="64"/>
      <c r="G1237" s="64"/>
      <c r="H1237" s="64"/>
      <c r="I1237" s="8"/>
      <c r="J1237" s="8"/>
      <c r="K1237" s="62"/>
      <c r="L1237" s="1"/>
    </row>
    <row r="1238" ht="15.6" spans="1:12">
      <c r="A1238" s="6"/>
      <c r="B1238" s="6"/>
      <c r="C1238" s="3"/>
      <c r="D1238" s="2"/>
      <c r="E1238" s="63"/>
      <c r="F1238" s="64"/>
      <c r="G1238" s="64"/>
      <c r="H1238" s="64"/>
      <c r="I1238" s="8"/>
      <c r="J1238" s="8"/>
      <c r="K1238" s="62"/>
      <c r="L1238" s="1"/>
    </row>
    <row r="1239" ht="15.6" spans="1:12">
      <c r="A1239" s="6"/>
      <c r="B1239" s="6"/>
      <c r="C1239" s="3"/>
      <c r="D1239" s="2"/>
      <c r="E1239" s="63"/>
      <c r="F1239" s="64"/>
      <c r="G1239" s="64"/>
      <c r="H1239" s="64"/>
      <c r="I1239" s="8"/>
      <c r="J1239" s="8"/>
      <c r="K1239" s="62"/>
      <c r="L1239" s="1"/>
    </row>
    <row r="1240" ht="15.6" spans="1:12">
      <c r="A1240" s="6"/>
      <c r="B1240" s="6"/>
      <c r="C1240" s="3"/>
      <c r="D1240" s="2"/>
      <c r="E1240" s="63"/>
      <c r="F1240" s="64"/>
      <c r="G1240" s="64"/>
      <c r="H1240" s="64"/>
      <c r="I1240" s="8"/>
      <c r="J1240" s="8"/>
      <c r="K1240" s="62"/>
      <c r="L1240" s="1"/>
    </row>
    <row r="1241" ht="15.6" spans="1:12">
      <c r="A1241" s="6"/>
      <c r="B1241" s="6"/>
      <c r="C1241" s="3"/>
      <c r="D1241" s="2"/>
      <c r="E1241" s="63"/>
      <c r="F1241" s="64"/>
      <c r="G1241" s="64"/>
      <c r="H1241" s="64"/>
      <c r="I1241" s="8"/>
      <c r="J1241" s="8"/>
      <c r="K1241" s="62"/>
      <c r="L1241" s="1"/>
    </row>
    <row r="1242" ht="15.6" spans="1:12">
      <c r="A1242" s="6"/>
      <c r="B1242" s="6"/>
      <c r="C1242" s="3"/>
      <c r="D1242" s="2"/>
      <c r="E1242" s="63"/>
      <c r="F1242" s="64"/>
      <c r="G1242" s="64"/>
      <c r="H1242" s="64"/>
      <c r="I1242" s="8"/>
      <c r="J1242" s="8"/>
      <c r="K1242" s="62"/>
      <c r="L1242" s="1"/>
    </row>
    <row r="1243" ht="15.6" spans="1:12">
      <c r="A1243" s="6"/>
      <c r="B1243" s="6"/>
      <c r="C1243" s="3"/>
      <c r="D1243" s="2"/>
      <c r="E1243" s="63"/>
      <c r="F1243" s="64"/>
      <c r="G1243" s="64"/>
      <c r="H1243" s="64"/>
      <c r="I1243" s="8"/>
      <c r="J1243" s="8"/>
      <c r="K1243" s="62"/>
      <c r="L1243" s="1"/>
    </row>
    <row r="1244" ht="15.6" spans="1:12">
      <c r="A1244" s="6"/>
      <c r="B1244" s="6"/>
      <c r="C1244" s="3"/>
      <c r="D1244" s="2"/>
      <c r="E1244" s="63"/>
      <c r="F1244" s="64"/>
      <c r="G1244" s="64"/>
      <c r="H1244" s="64"/>
      <c r="I1244" s="8"/>
      <c r="J1244" s="8"/>
      <c r="K1244" s="62"/>
      <c r="L1244" s="1"/>
    </row>
    <row r="1245" ht="15.6" spans="1:12">
      <c r="A1245" s="6"/>
      <c r="B1245" s="6"/>
      <c r="C1245" s="3"/>
      <c r="D1245" s="2"/>
      <c r="E1245" s="63"/>
      <c r="F1245" s="64"/>
      <c r="G1245" s="64"/>
      <c r="H1245" s="64"/>
      <c r="I1245" s="8"/>
      <c r="J1245" s="8"/>
      <c r="K1245" s="62"/>
      <c r="L1245" s="1"/>
    </row>
    <row r="1246" ht="15.6" spans="1:12">
      <c r="A1246" s="6"/>
      <c r="B1246" s="6"/>
      <c r="C1246" s="3"/>
      <c r="D1246" s="2"/>
      <c r="E1246" s="63"/>
      <c r="F1246" s="64"/>
      <c r="G1246" s="64"/>
      <c r="H1246" s="64"/>
      <c r="I1246" s="8"/>
      <c r="J1246" s="8"/>
      <c r="K1246" s="62"/>
      <c r="L1246" s="1"/>
    </row>
    <row r="1247" ht="15.6" spans="1:12">
      <c r="A1247" s="6"/>
      <c r="B1247" s="6"/>
      <c r="C1247" s="3"/>
      <c r="D1247" s="2"/>
      <c r="E1247" s="63"/>
      <c r="F1247" s="64"/>
      <c r="G1247" s="64"/>
      <c r="H1247" s="64"/>
      <c r="I1247" s="8"/>
      <c r="J1247" s="8"/>
      <c r="K1247" s="62"/>
      <c r="L1247" s="1"/>
    </row>
    <row r="1248" ht="15.6" spans="1:12">
      <c r="A1248" s="6"/>
      <c r="B1248" s="6"/>
      <c r="C1248" s="3"/>
      <c r="D1248" s="2"/>
      <c r="E1248" s="63"/>
      <c r="F1248" s="64"/>
      <c r="G1248" s="64"/>
      <c r="H1248" s="64"/>
      <c r="I1248" s="8"/>
      <c r="J1248" s="8"/>
      <c r="K1248" s="62"/>
      <c r="L1248" s="1"/>
    </row>
    <row r="1249" ht="15.6" spans="1:12">
      <c r="A1249" s="6"/>
      <c r="B1249" s="6"/>
      <c r="C1249" s="3"/>
      <c r="D1249" s="2"/>
      <c r="E1249" s="63"/>
      <c r="F1249" s="64"/>
      <c r="G1249" s="64"/>
      <c r="H1249" s="64"/>
      <c r="I1249" s="8"/>
      <c r="J1249" s="8"/>
      <c r="K1249" s="62"/>
      <c r="L1249" s="1"/>
    </row>
    <row r="1250" ht="15.6" spans="1:12">
      <c r="A1250" s="6"/>
      <c r="B1250" s="6"/>
      <c r="C1250" s="3"/>
      <c r="D1250" s="2"/>
      <c r="E1250" s="63"/>
      <c r="F1250" s="64"/>
      <c r="G1250" s="64"/>
      <c r="H1250" s="64"/>
      <c r="I1250" s="8"/>
      <c r="J1250" s="8"/>
      <c r="K1250" s="62"/>
      <c r="L1250" s="1"/>
    </row>
    <row r="1251" ht="15.6" spans="1:12">
      <c r="A1251" s="6"/>
      <c r="B1251" s="6"/>
      <c r="C1251" s="3"/>
      <c r="D1251" s="2"/>
      <c r="E1251" s="63"/>
      <c r="F1251" s="64"/>
      <c r="G1251" s="64"/>
      <c r="H1251" s="64"/>
      <c r="I1251" s="8"/>
      <c r="J1251" s="8"/>
      <c r="K1251" s="62"/>
      <c r="L1251" s="1"/>
    </row>
    <row r="1252" ht="15.6" spans="1:12">
      <c r="A1252" s="6"/>
      <c r="B1252" s="6"/>
      <c r="C1252" s="3"/>
      <c r="D1252" s="2"/>
      <c r="E1252" s="63"/>
      <c r="F1252" s="64"/>
      <c r="G1252" s="64"/>
      <c r="H1252" s="64"/>
      <c r="I1252" s="8"/>
      <c r="J1252" s="8"/>
      <c r="K1252" s="62"/>
      <c r="L1252" s="1"/>
    </row>
    <row r="1253" ht="15.6" spans="1:12">
      <c r="A1253" s="6"/>
      <c r="B1253" s="6"/>
      <c r="C1253" s="3"/>
      <c r="D1253" s="2"/>
      <c r="E1253" s="63"/>
      <c r="F1253" s="64"/>
      <c r="G1253" s="64"/>
      <c r="H1253" s="64"/>
      <c r="I1253" s="8"/>
      <c r="J1253" s="8"/>
      <c r="K1253" s="62"/>
      <c r="L1253" s="1"/>
    </row>
    <row r="1254" ht="15.6" spans="1:12">
      <c r="A1254" s="6"/>
      <c r="B1254" s="6"/>
      <c r="C1254" s="3"/>
      <c r="D1254" s="2"/>
      <c r="E1254" s="63"/>
      <c r="F1254" s="64"/>
      <c r="G1254" s="64"/>
      <c r="H1254" s="64"/>
      <c r="I1254" s="8"/>
      <c r="J1254" s="8"/>
      <c r="K1254" s="62"/>
      <c r="L1254" s="1"/>
    </row>
    <row r="1255" ht="15.6" spans="1:12">
      <c r="A1255" s="6"/>
      <c r="B1255" s="6"/>
      <c r="C1255" s="3"/>
      <c r="D1255" s="2"/>
      <c r="E1255" s="63"/>
      <c r="F1255" s="64"/>
      <c r="G1255" s="64"/>
      <c r="H1255" s="64"/>
      <c r="I1255" s="8"/>
      <c r="J1255" s="8"/>
      <c r="K1255" s="62"/>
      <c r="L1255" s="1"/>
    </row>
    <row r="1256" ht="15.6" spans="1:12">
      <c r="A1256" s="6"/>
      <c r="B1256" s="6"/>
      <c r="C1256" s="3"/>
      <c r="D1256" s="2"/>
      <c r="E1256" s="63"/>
      <c r="F1256" s="64"/>
      <c r="G1256" s="64"/>
      <c r="H1256" s="64"/>
      <c r="I1256" s="8"/>
      <c r="J1256" s="8"/>
      <c r="K1256" s="62"/>
      <c r="L1256" s="1"/>
    </row>
    <row r="1257" ht="15.6" spans="1:12">
      <c r="A1257" s="6"/>
      <c r="B1257" s="6"/>
      <c r="C1257" s="3"/>
      <c r="D1257" s="2"/>
      <c r="E1257" s="63"/>
      <c r="F1257" s="64"/>
      <c r="G1257" s="64"/>
      <c r="H1257" s="64"/>
      <c r="I1257" s="8"/>
      <c r="J1257" s="8"/>
      <c r="K1257" s="62"/>
      <c r="L1257" s="1"/>
    </row>
    <row r="1258" ht="15.6" spans="1:12">
      <c r="A1258" s="6"/>
      <c r="B1258" s="6"/>
      <c r="C1258" s="3"/>
      <c r="D1258" s="2"/>
      <c r="E1258" s="63"/>
      <c r="F1258" s="64"/>
      <c r="G1258" s="64"/>
      <c r="H1258" s="64"/>
      <c r="I1258" s="8"/>
      <c r="J1258" s="8"/>
      <c r="K1258" s="62"/>
      <c r="L1258" s="1"/>
    </row>
    <row r="1259" ht="15.6" spans="1:12">
      <c r="A1259" s="6"/>
      <c r="B1259" s="6"/>
      <c r="C1259" s="3"/>
      <c r="D1259" s="2"/>
      <c r="E1259" s="63"/>
      <c r="F1259" s="64"/>
      <c r="G1259" s="64"/>
      <c r="H1259" s="64"/>
      <c r="I1259" s="8"/>
      <c r="J1259" s="8"/>
      <c r="K1259" s="62"/>
      <c r="L1259" s="1"/>
    </row>
    <row r="1260" ht="15.6" spans="1:12">
      <c r="A1260" s="6"/>
      <c r="B1260" s="6"/>
      <c r="C1260" s="3"/>
      <c r="D1260" s="2"/>
      <c r="E1260" s="63"/>
      <c r="F1260" s="64"/>
      <c r="G1260" s="64"/>
      <c r="H1260" s="64"/>
      <c r="I1260" s="8"/>
      <c r="J1260" s="8"/>
      <c r="K1260" s="62"/>
      <c r="L1260" s="1"/>
    </row>
    <row r="1261" ht="15.6" spans="1:12">
      <c r="A1261" s="6"/>
      <c r="B1261" s="6"/>
      <c r="C1261" s="3"/>
      <c r="D1261" s="2"/>
      <c r="E1261" s="63"/>
      <c r="F1261" s="64"/>
      <c r="G1261" s="64"/>
      <c r="H1261" s="64"/>
      <c r="I1261" s="8"/>
      <c r="J1261" s="8"/>
      <c r="K1261" s="62"/>
      <c r="L1261" s="1"/>
    </row>
    <row r="1262" ht="15.6" spans="1:12">
      <c r="A1262" s="6"/>
      <c r="B1262" s="6"/>
      <c r="C1262" s="3"/>
      <c r="D1262" s="2"/>
      <c r="E1262" s="63"/>
      <c r="F1262" s="64"/>
      <c r="G1262" s="64"/>
      <c r="H1262" s="64"/>
      <c r="I1262" s="8"/>
      <c r="J1262" s="8"/>
      <c r="K1262" s="62"/>
      <c r="L1262" s="1"/>
    </row>
    <row r="1263" ht="15.6" spans="1:12">
      <c r="A1263" s="6"/>
      <c r="B1263" s="6"/>
      <c r="C1263" s="3"/>
      <c r="D1263" s="2"/>
      <c r="E1263" s="63"/>
      <c r="F1263" s="64"/>
      <c r="G1263" s="64"/>
      <c r="H1263" s="64"/>
      <c r="I1263" s="8"/>
      <c r="J1263" s="8"/>
      <c r="K1263" s="62"/>
      <c r="L1263" s="1"/>
    </row>
    <row r="1264" ht="15.6" spans="1:12">
      <c r="A1264" s="6"/>
      <c r="B1264" s="6"/>
      <c r="C1264" s="3"/>
      <c r="D1264" s="2"/>
      <c r="E1264" s="63"/>
      <c r="F1264" s="64"/>
      <c r="G1264" s="64"/>
      <c r="H1264" s="64"/>
      <c r="I1264" s="8"/>
      <c r="J1264" s="8"/>
      <c r="K1264" s="62"/>
      <c r="L1264" s="1"/>
    </row>
    <row r="1265" ht="15.6" spans="1:12">
      <c r="A1265" s="6"/>
      <c r="B1265" s="6"/>
      <c r="C1265" s="3"/>
      <c r="D1265" s="2"/>
      <c r="E1265" s="63"/>
      <c r="F1265" s="64"/>
      <c r="G1265" s="64"/>
      <c r="H1265" s="64"/>
      <c r="I1265" s="8"/>
      <c r="J1265" s="8"/>
      <c r="K1265" s="62"/>
      <c r="L1265" s="1"/>
    </row>
    <row r="1266" ht="15.6" spans="1:12">
      <c r="A1266" s="6"/>
      <c r="B1266" s="6"/>
      <c r="C1266" s="3"/>
      <c r="D1266" s="2"/>
      <c r="E1266" s="63"/>
      <c r="F1266" s="64"/>
      <c r="G1266" s="64"/>
      <c r="H1266" s="64"/>
      <c r="I1266" s="8"/>
      <c r="J1266" s="8"/>
      <c r="K1266" s="62"/>
      <c r="L1266" s="1"/>
    </row>
    <row r="1267" ht="15.6" spans="1:12">
      <c r="A1267" s="6"/>
      <c r="B1267" s="6"/>
      <c r="C1267" s="3"/>
      <c r="D1267" s="2"/>
      <c r="E1267" s="63"/>
      <c r="F1267" s="64"/>
      <c r="G1267" s="64"/>
      <c r="H1267" s="64"/>
      <c r="I1267" s="8"/>
      <c r="J1267" s="8"/>
      <c r="K1267" s="62"/>
      <c r="L1267" s="1"/>
    </row>
    <row r="1268" ht="15.6" spans="1:12">
      <c r="A1268" s="6"/>
      <c r="B1268" s="6"/>
      <c r="C1268" s="3"/>
      <c r="D1268" s="2"/>
      <c r="E1268" s="63"/>
      <c r="F1268" s="64"/>
      <c r="G1268" s="64"/>
      <c r="H1268" s="64"/>
      <c r="I1268" s="8"/>
      <c r="J1268" s="8"/>
      <c r="K1268" s="62"/>
      <c r="L1268" s="1"/>
    </row>
    <row r="1269" ht="15.6" spans="1:12">
      <c r="A1269" s="6"/>
      <c r="B1269" s="6"/>
      <c r="C1269" s="3"/>
      <c r="D1269" s="2"/>
      <c r="E1269" s="63"/>
      <c r="F1269" s="64"/>
      <c r="G1269" s="64"/>
      <c r="H1269" s="64"/>
      <c r="I1269" s="8"/>
      <c r="J1269" s="8"/>
      <c r="K1269" s="62"/>
      <c r="L1269" s="1"/>
    </row>
    <row r="1270" ht="15.6" spans="1:12">
      <c r="A1270" s="6"/>
      <c r="B1270" s="6"/>
      <c r="C1270" s="3"/>
      <c r="D1270" s="2"/>
      <c r="E1270" s="63"/>
      <c r="F1270" s="64"/>
      <c r="G1270" s="64"/>
      <c r="H1270" s="64"/>
      <c r="I1270" s="8"/>
      <c r="J1270" s="8"/>
      <c r="K1270" s="62"/>
      <c r="L1270" s="1"/>
    </row>
    <row r="1271" ht="15.6" spans="1:12">
      <c r="A1271" s="6"/>
      <c r="B1271" s="6"/>
      <c r="C1271" s="3"/>
      <c r="D1271" s="2"/>
      <c r="E1271" s="63"/>
      <c r="F1271" s="64"/>
      <c r="G1271" s="64"/>
      <c r="H1271" s="64"/>
      <c r="I1271" s="8"/>
      <c r="J1271" s="8"/>
      <c r="K1271" s="62"/>
      <c r="L1271" s="1"/>
    </row>
    <row r="1272" ht="15.6" spans="1:12">
      <c r="A1272" s="6"/>
      <c r="B1272" s="6"/>
      <c r="C1272" s="3"/>
      <c r="D1272" s="2"/>
      <c r="E1272" s="63"/>
      <c r="F1272" s="64"/>
      <c r="G1272" s="64"/>
      <c r="H1272" s="64"/>
      <c r="I1272" s="8"/>
      <c r="J1272" s="8"/>
      <c r="K1272" s="62"/>
      <c r="L1272" s="1"/>
    </row>
    <row r="1273" ht="15.6" spans="1:12">
      <c r="A1273" s="6"/>
      <c r="B1273" s="6"/>
      <c r="C1273" s="3"/>
      <c r="D1273" s="2"/>
      <c r="E1273" s="63"/>
      <c r="F1273" s="64"/>
      <c r="G1273" s="64"/>
      <c r="H1273" s="64"/>
      <c r="I1273" s="8"/>
      <c r="J1273" s="8"/>
      <c r="K1273" s="62"/>
      <c r="L1273" s="1"/>
    </row>
    <row r="1274" ht="15.6" spans="1:12">
      <c r="A1274" s="6"/>
      <c r="B1274" s="6"/>
      <c r="C1274" s="3"/>
      <c r="D1274" s="2"/>
      <c r="E1274" s="63"/>
      <c r="F1274" s="64"/>
      <c r="G1274" s="64"/>
      <c r="H1274" s="64"/>
      <c r="I1274" s="8"/>
      <c r="J1274" s="8"/>
      <c r="K1274" s="62"/>
      <c r="L1274" s="1"/>
    </row>
    <row r="1275" ht="15.6" spans="1:12">
      <c r="A1275" s="6"/>
      <c r="B1275" s="6"/>
      <c r="C1275" s="3"/>
      <c r="D1275" s="2"/>
      <c r="E1275" s="63"/>
      <c r="F1275" s="64"/>
      <c r="G1275" s="64"/>
      <c r="H1275" s="64"/>
      <c r="I1275" s="8"/>
      <c r="J1275" s="8"/>
      <c r="K1275" s="62"/>
      <c r="L1275" s="1"/>
    </row>
    <row r="1276" ht="15.6" spans="1:12">
      <c r="A1276" s="6"/>
      <c r="B1276" s="6"/>
      <c r="C1276" s="3"/>
      <c r="D1276" s="2"/>
      <c r="E1276" s="63"/>
      <c r="F1276" s="64"/>
      <c r="G1276" s="64"/>
      <c r="H1276" s="64"/>
      <c r="I1276" s="8"/>
      <c r="J1276" s="8"/>
      <c r="K1276" s="62"/>
      <c r="L1276" s="1"/>
    </row>
    <row r="1277" ht="15.6" spans="1:12">
      <c r="A1277" s="6"/>
      <c r="B1277" s="6"/>
      <c r="C1277" s="3"/>
      <c r="D1277" s="2"/>
      <c r="E1277" s="63"/>
      <c r="F1277" s="64"/>
      <c r="G1277" s="64"/>
      <c r="H1277" s="64"/>
      <c r="I1277" s="8"/>
      <c r="J1277" s="8"/>
      <c r="K1277" s="62"/>
      <c r="L1277" s="1"/>
    </row>
    <row r="1278" ht="15.6" spans="1:12">
      <c r="A1278" s="6"/>
      <c r="B1278" s="6"/>
      <c r="C1278" s="3"/>
      <c r="D1278" s="2"/>
      <c r="E1278" s="63"/>
      <c r="F1278" s="64"/>
      <c r="G1278" s="64"/>
      <c r="H1278" s="64"/>
      <c r="I1278" s="8"/>
      <c r="J1278" s="8"/>
      <c r="K1278" s="62"/>
      <c r="L1278" s="1"/>
    </row>
    <row r="1279" ht="15.6" spans="1:12">
      <c r="A1279" s="6"/>
      <c r="B1279" s="6"/>
      <c r="C1279" s="3"/>
      <c r="D1279" s="2"/>
      <c r="E1279" s="63"/>
      <c r="F1279" s="64"/>
      <c r="G1279" s="64"/>
      <c r="H1279" s="64"/>
      <c r="I1279" s="8"/>
      <c r="J1279" s="8"/>
      <c r="K1279" s="62"/>
      <c r="L1279" s="1"/>
    </row>
    <row r="1280" ht="15.6" spans="1:12">
      <c r="A1280" s="6"/>
      <c r="B1280" s="6"/>
      <c r="C1280" s="3"/>
      <c r="D1280" s="2"/>
      <c r="E1280" s="63"/>
      <c r="F1280" s="64"/>
      <c r="G1280" s="64"/>
      <c r="H1280" s="64"/>
      <c r="I1280" s="8"/>
      <c r="J1280" s="8"/>
      <c r="K1280" s="62"/>
      <c r="L1280" s="1"/>
    </row>
    <row r="1281" ht="15.6" spans="1:12">
      <c r="A1281" s="6"/>
      <c r="B1281" s="6"/>
      <c r="C1281" s="3"/>
      <c r="D1281" s="2"/>
      <c r="E1281" s="63"/>
      <c r="F1281" s="64"/>
      <c r="G1281" s="64"/>
      <c r="H1281" s="64"/>
      <c r="I1281" s="8"/>
      <c r="J1281" s="8"/>
      <c r="K1281" s="62"/>
      <c r="L1281" s="1"/>
    </row>
    <row r="1282" ht="15.6" spans="1:12">
      <c r="A1282" s="6"/>
      <c r="B1282" s="6"/>
      <c r="C1282" s="3"/>
      <c r="D1282" s="2"/>
      <c r="E1282" s="63"/>
      <c r="F1282" s="64"/>
      <c r="G1282" s="64"/>
      <c r="H1282" s="64"/>
      <c r="I1282" s="8"/>
      <c r="J1282" s="8"/>
      <c r="K1282" s="62"/>
      <c r="L1282" s="1"/>
    </row>
    <row r="1283" ht="15.6" spans="1:12">
      <c r="A1283" s="6"/>
      <c r="B1283" s="6"/>
      <c r="C1283" s="3"/>
      <c r="D1283" s="2"/>
      <c r="E1283" s="63"/>
      <c r="F1283" s="64"/>
      <c r="G1283" s="64"/>
      <c r="H1283" s="64"/>
      <c r="I1283" s="8"/>
      <c r="J1283" s="8"/>
      <c r="K1283" s="62"/>
      <c r="L1283" s="1"/>
    </row>
    <row r="1284" ht="15.6" spans="1:12">
      <c r="A1284" s="6"/>
      <c r="B1284" s="6"/>
      <c r="C1284" s="3"/>
      <c r="D1284" s="2"/>
      <c r="E1284" s="63"/>
      <c r="F1284" s="64"/>
      <c r="G1284" s="64"/>
      <c r="H1284" s="64"/>
      <c r="I1284" s="8"/>
      <c r="J1284" s="8"/>
      <c r="K1284" s="62"/>
      <c r="L1284" s="1"/>
    </row>
    <row r="1285" ht="15.6" spans="1:12">
      <c r="A1285" s="6"/>
      <c r="B1285" s="6"/>
      <c r="C1285" s="3"/>
      <c r="D1285" s="2"/>
      <c r="E1285" s="63"/>
      <c r="F1285" s="64"/>
      <c r="G1285" s="64"/>
      <c r="H1285" s="64"/>
      <c r="I1285" s="8"/>
      <c r="J1285" s="8"/>
      <c r="K1285" s="62"/>
      <c r="L1285" s="1"/>
    </row>
    <row r="1286" ht="15.6" spans="1:12">
      <c r="A1286" s="6"/>
      <c r="B1286" s="6"/>
      <c r="C1286" s="3"/>
      <c r="D1286" s="2"/>
      <c r="E1286" s="63"/>
      <c r="F1286" s="64"/>
      <c r="G1286" s="64"/>
      <c r="H1286" s="64"/>
      <c r="I1286" s="8"/>
      <c r="J1286" s="8"/>
      <c r="K1286" s="62"/>
      <c r="L1286" s="1"/>
    </row>
    <row r="1287" ht="15.6" spans="1:12">
      <c r="A1287" s="6"/>
      <c r="B1287" s="6"/>
      <c r="C1287" s="3"/>
      <c r="D1287" s="2"/>
      <c r="E1287" s="63"/>
      <c r="F1287" s="50"/>
      <c r="G1287" s="50"/>
      <c r="H1287" s="64"/>
      <c r="I1287" s="8"/>
      <c r="J1287" s="8"/>
      <c r="K1287" s="62"/>
      <c r="L1287" s="1"/>
    </row>
    <row r="1288" ht="15.6" spans="1:12">
      <c r="A1288" s="6"/>
      <c r="B1288" s="6"/>
      <c r="C1288" s="3"/>
      <c r="D1288" s="2"/>
      <c r="E1288" s="63"/>
      <c r="F1288" s="64"/>
      <c r="G1288" s="64"/>
      <c r="H1288" s="64"/>
      <c r="I1288" s="8"/>
      <c r="J1288" s="8"/>
      <c r="K1288" s="62"/>
      <c r="L1288" s="1"/>
    </row>
    <row r="1289" ht="15.6" spans="1:12">
      <c r="A1289" s="6"/>
      <c r="B1289" s="6"/>
      <c r="C1289" s="3"/>
      <c r="D1289" s="2"/>
      <c r="E1289" s="63"/>
      <c r="F1289" s="64"/>
      <c r="G1289" s="64"/>
      <c r="H1289" s="64"/>
      <c r="I1289" s="8"/>
      <c r="J1289" s="8"/>
      <c r="K1289" s="62"/>
      <c r="L1289" s="1"/>
    </row>
    <row r="1290" ht="15.6" spans="1:12">
      <c r="A1290" s="6"/>
      <c r="B1290" s="6"/>
      <c r="C1290" s="3"/>
      <c r="D1290" s="2"/>
      <c r="E1290" s="63"/>
      <c r="F1290" s="64"/>
      <c r="G1290" s="64"/>
      <c r="H1290" s="64"/>
      <c r="I1290" s="8"/>
      <c r="J1290" s="8"/>
      <c r="K1290" s="62"/>
      <c r="L1290" s="1"/>
    </row>
    <row r="1291" ht="15.6" spans="1:12">
      <c r="A1291" s="6"/>
      <c r="B1291" s="6"/>
      <c r="C1291" s="3"/>
      <c r="D1291" s="2"/>
      <c r="E1291" s="63"/>
      <c r="F1291" s="64"/>
      <c r="G1291" s="64"/>
      <c r="H1291" s="64"/>
      <c r="I1291" s="8"/>
      <c r="J1291" s="8"/>
      <c r="K1291" s="62"/>
      <c r="L1291" s="1"/>
    </row>
    <row r="1292" ht="15.6" spans="1:12">
      <c r="A1292" s="6"/>
      <c r="B1292" s="6"/>
      <c r="C1292" s="3"/>
      <c r="D1292" s="2"/>
      <c r="E1292" s="63"/>
      <c r="F1292" s="64"/>
      <c r="G1292" s="64"/>
      <c r="H1292" s="64"/>
      <c r="I1292" s="8"/>
      <c r="J1292" s="8"/>
      <c r="K1292" s="62"/>
      <c r="L1292" s="1"/>
    </row>
    <row r="1293" ht="15.6" spans="1:12">
      <c r="A1293" s="6"/>
      <c r="B1293" s="6"/>
      <c r="C1293" s="3"/>
      <c r="D1293" s="2"/>
      <c r="E1293" s="63"/>
      <c r="F1293" s="64"/>
      <c r="G1293" s="64"/>
      <c r="H1293" s="64"/>
      <c r="I1293" s="8"/>
      <c r="J1293" s="8"/>
      <c r="K1293" s="62"/>
      <c r="L1293" s="1"/>
    </row>
    <row r="1294" ht="15.6" spans="1:12">
      <c r="A1294" s="6"/>
      <c r="B1294" s="6"/>
      <c r="C1294" s="3"/>
      <c r="D1294" s="2"/>
      <c r="E1294" s="63"/>
      <c r="F1294" s="64"/>
      <c r="G1294" s="64"/>
      <c r="H1294" s="64"/>
      <c r="I1294" s="8"/>
      <c r="J1294" s="8"/>
      <c r="K1294" s="62"/>
      <c r="L1294" s="1"/>
    </row>
    <row r="1295" ht="15.6" spans="1:12">
      <c r="A1295" s="6"/>
      <c r="B1295" s="6"/>
      <c r="C1295" s="3"/>
      <c r="D1295" s="2"/>
      <c r="E1295" s="63"/>
      <c r="F1295" s="64"/>
      <c r="G1295" s="64"/>
      <c r="H1295" s="64"/>
      <c r="I1295" s="8"/>
      <c r="J1295" s="8"/>
      <c r="K1295" s="62"/>
      <c r="L1295" s="1"/>
    </row>
    <row r="1296" ht="15.6" spans="1:12">
      <c r="A1296" s="6"/>
      <c r="B1296" s="6"/>
      <c r="C1296" s="3"/>
      <c r="D1296" s="2"/>
      <c r="E1296" s="63"/>
      <c r="F1296" s="64"/>
      <c r="G1296" s="64"/>
      <c r="H1296" s="64"/>
      <c r="I1296" s="8"/>
      <c r="J1296" s="8"/>
      <c r="K1296" s="62"/>
      <c r="L1296" s="1"/>
    </row>
    <row r="1297" ht="15.6" spans="1:12">
      <c r="A1297" s="6"/>
      <c r="B1297" s="6"/>
      <c r="C1297" s="3"/>
      <c r="D1297" s="2"/>
      <c r="E1297" s="63"/>
      <c r="F1297" s="64"/>
      <c r="G1297" s="64"/>
      <c r="H1297" s="64"/>
      <c r="I1297" s="8"/>
      <c r="J1297" s="8"/>
      <c r="K1297" s="62"/>
      <c r="L1297" s="1"/>
    </row>
    <row r="1298" ht="15.6" spans="1:12">
      <c r="A1298" s="6"/>
      <c r="B1298" s="6"/>
      <c r="C1298" s="3"/>
      <c r="D1298" s="2"/>
      <c r="E1298" s="63"/>
      <c r="F1298" s="64"/>
      <c r="G1298" s="64"/>
      <c r="H1298" s="64"/>
      <c r="I1298" s="8"/>
      <c r="J1298" s="8"/>
      <c r="K1298" s="62"/>
      <c r="L1298" s="1"/>
    </row>
    <row r="1299" ht="15.6" spans="1:12">
      <c r="A1299" s="6"/>
      <c r="B1299" s="6"/>
      <c r="C1299" s="3"/>
      <c r="D1299" s="2"/>
      <c r="E1299" s="63"/>
      <c r="F1299" s="64"/>
      <c r="G1299" s="64"/>
      <c r="H1299" s="64"/>
      <c r="I1299" s="8"/>
      <c r="J1299" s="8"/>
      <c r="K1299" s="62"/>
      <c r="L1299" s="1"/>
    </row>
    <row r="1300" ht="15.6" spans="1:12">
      <c r="A1300" s="6"/>
      <c r="B1300" s="6"/>
      <c r="C1300" s="3"/>
      <c r="D1300" s="2"/>
      <c r="E1300" s="63"/>
      <c r="F1300" s="64"/>
      <c r="G1300" s="64"/>
      <c r="H1300" s="64"/>
      <c r="I1300" s="8"/>
      <c r="J1300" s="8"/>
      <c r="K1300" s="62"/>
      <c r="L1300" s="1"/>
    </row>
    <row r="1301" ht="15.6" spans="1:12">
      <c r="A1301" s="6"/>
      <c r="B1301" s="6"/>
      <c r="C1301" s="3"/>
      <c r="D1301" s="2"/>
      <c r="E1301" s="63"/>
      <c r="F1301" s="64"/>
      <c r="G1301" s="64"/>
      <c r="H1301" s="64"/>
      <c r="I1301" s="8"/>
      <c r="J1301" s="8"/>
      <c r="K1301" s="62"/>
      <c r="L1301" s="1"/>
    </row>
    <row r="1302" ht="15.6" spans="1:12">
      <c r="A1302" s="6"/>
      <c r="B1302" s="6"/>
      <c r="C1302" s="3"/>
      <c r="D1302" s="2"/>
      <c r="E1302" s="63"/>
      <c r="F1302" s="64"/>
      <c r="G1302" s="64"/>
      <c r="H1302" s="64"/>
      <c r="I1302" s="8"/>
      <c r="J1302" s="8"/>
      <c r="K1302" s="62"/>
      <c r="L1302" s="1"/>
    </row>
    <row r="1303" ht="15.6" spans="1:12">
      <c r="A1303" s="6"/>
      <c r="B1303" s="6"/>
      <c r="C1303" s="3"/>
      <c r="D1303" s="2"/>
      <c r="E1303" s="63"/>
      <c r="F1303" s="64"/>
      <c r="G1303" s="64"/>
      <c r="H1303" s="64"/>
      <c r="I1303" s="8"/>
      <c r="J1303" s="8"/>
      <c r="K1303" s="62"/>
      <c r="L1303" s="1"/>
    </row>
    <row r="1304" ht="15.6" spans="1:12">
      <c r="A1304" s="6"/>
      <c r="B1304" s="6"/>
      <c r="C1304" s="3"/>
      <c r="D1304" s="2"/>
      <c r="E1304" s="63"/>
      <c r="F1304" s="64"/>
      <c r="G1304" s="64"/>
      <c r="H1304" s="64"/>
      <c r="I1304" s="8"/>
      <c r="J1304" s="8"/>
      <c r="K1304" s="62"/>
      <c r="L1304" s="1"/>
    </row>
    <row r="1305" ht="15.6" spans="1:12">
      <c r="A1305" s="6"/>
      <c r="B1305" s="6"/>
      <c r="C1305" s="3"/>
      <c r="D1305" s="2"/>
      <c r="E1305" s="63"/>
      <c r="F1305" s="64"/>
      <c r="G1305" s="64"/>
      <c r="H1305" s="64"/>
      <c r="I1305" s="8"/>
      <c r="J1305" s="8"/>
      <c r="K1305" s="62"/>
      <c r="L1305" s="1"/>
    </row>
    <row r="1306" ht="15.6" spans="1:12">
      <c r="A1306" s="6"/>
      <c r="B1306" s="6"/>
      <c r="C1306" s="3"/>
      <c r="D1306" s="2"/>
      <c r="E1306" s="63"/>
      <c r="F1306" s="64"/>
      <c r="G1306" s="64"/>
      <c r="H1306" s="64"/>
      <c r="I1306" s="8"/>
      <c r="J1306" s="8"/>
      <c r="K1306" s="62"/>
      <c r="L1306" s="1"/>
    </row>
    <row r="1307" ht="15.6" spans="1:12">
      <c r="A1307" s="6"/>
      <c r="B1307" s="6"/>
      <c r="C1307" s="3"/>
      <c r="D1307" s="2"/>
      <c r="E1307" s="63"/>
      <c r="F1307" s="64"/>
      <c r="G1307" s="64"/>
      <c r="H1307" s="64"/>
      <c r="I1307" s="8"/>
      <c r="J1307" s="8"/>
      <c r="K1307" s="62"/>
      <c r="L1307" s="1"/>
    </row>
    <row r="1308" ht="15.6" spans="1:12">
      <c r="A1308" s="6"/>
      <c r="B1308" s="6"/>
      <c r="C1308" s="3"/>
      <c r="D1308" s="2"/>
      <c r="E1308" s="63"/>
      <c r="F1308" s="64"/>
      <c r="G1308" s="64"/>
      <c r="H1308" s="64"/>
      <c r="I1308" s="8"/>
      <c r="J1308" s="8"/>
      <c r="K1308" s="62"/>
      <c r="L1308" s="1"/>
    </row>
    <row r="1309" ht="15.6" spans="1:12">
      <c r="A1309" s="6"/>
      <c r="B1309" s="6"/>
      <c r="C1309" s="3"/>
      <c r="D1309" s="2"/>
      <c r="E1309" s="63"/>
      <c r="F1309" s="64"/>
      <c r="G1309" s="64"/>
      <c r="H1309" s="64"/>
      <c r="I1309" s="8"/>
      <c r="J1309" s="8"/>
      <c r="K1309" s="62"/>
      <c r="L1309" s="1"/>
    </row>
    <row r="1310" ht="15.6" spans="1:12">
      <c r="A1310" s="6"/>
      <c r="B1310" s="6"/>
      <c r="C1310" s="3"/>
      <c r="D1310" s="2"/>
      <c r="E1310" s="63"/>
      <c r="F1310" s="64"/>
      <c r="G1310" s="64"/>
      <c r="H1310" s="64"/>
      <c r="I1310" s="8"/>
      <c r="J1310" s="8"/>
      <c r="K1310" s="62"/>
      <c r="L1310" s="1"/>
    </row>
    <row r="1311" ht="15.6" spans="1:12">
      <c r="A1311" s="6"/>
      <c r="B1311" s="6"/>
      <c r="C1311" s="3"/>
      <c r="D1311" s="2"/>
      <c r="E1311" s="63"/>
      <c r="F1311" s="64"/>
      <c r="G1311" s="64"/>
      <c r="H1311" s="64"/>
      <c r="I1311" s="8"/>
      <c r="J1311" s="8"/>
      <c r="K1311" s="62"/>
      <c r="L1311" s="1"/>
    </row>
    <row r="1312" ht="15.6" spans="1:12">
      <c r="A1312" s="6"/>
      <c r="B1312" s="6"/>
      <c r="C1312" s="3"/>
      <c r="D1312" s="2"/>
      <c r="E1312" s="63"/>
      <c r="F1312" s="64"/>
      <c r="G1312" s="64"/>
      <c r="H1312" s="64"/>
      <c r="I1312" s="8"/>
      <c r="J1312" s="8"/>
      <c r="K1312" s="62"/>
      <c r="L1312" s="1"/>
    </row>
    <row r="1313" ht="15.6" spans="1:12">
      <c r="A1313" s="6"/>
      <c r="B1313" s="6"/>
      <c r="C1313" s="3"/>
      <c r="D1313" s="2"/>
      <c r="E1313" s="63"/>
      <c r="F1313" s="64"/>
      <c r="G1313" s="64"/>
      <c r="H1313" s="64"/>
      <c r="I1313" s="8"/>
      <c r="J1313" s="8"/>
      <c r="K1313" s="62"/>
      <c r="L1313" s="1"/>
    </row>
    <row r="1314" ht="15.6" spans="1:12">
      <c r="A1314" s="6"/>
      <c r="B1314" s="6"/>
      <c r="C1314" s="3"/>
      <c r="D1314" s="2"/>
      <c r="E1314" s="63"/>
      <c r="F1314" s="64"/>
      <c r="G1314" s="64"/>
      <c r="H1314" s="64"/>
      <c r="I1314" s="8"/>
      <c r="J1314" s="8"/>
      <c r="K1314" s="62"/>
      <c r="L1314" s="1"/>
    </row>
    <row r="1315" ht="15.6" spans="1:12">
      <c r="A1315" s="6"/>
      <c r="B1315" s="6"/>
      <c r="C1315" s="3"/>
      <c r="D1315" s="2"/>
      <c r="E1315" s="63"/>
      <c r="F1315" s="64"/>
      <c r="G1315" s="64"/>
      <c r="H1315" s="64"/>
      <c r="I1315" s="8"/>
      <c r="J1315" s="8"/>
      <c r="K1315" s="62"/>
      <c r="L1315" s="1"/>
    </row>
    <row r="1316" ht="15.6" spans="1:12">
      <c r="A1316" s="6"/>
      <c r="B1316" s="6"/>
      <c r="C1316" s="3"/>
      <c r="D1316" s="2"/>
      <c r="E1316" s="63"/>
      <c r="F1316" s="64"/>
      <c r="G1316" s="64"/>
      <c r="H1316" s="64"/>
      <c r="I1316" s="8"/>
      <c r="J1316" s="8"/>
      <c r="K1316" s="62"/>
      <c r="L1316" s="1"/>
    </row>
    <row r="1317" ht="15.6" spans="1:12">
      <c r="A1317" s="6"/>
      <c r="B1317" s="6"/>
      <c r="C1317" s="3"/>
      <c r="D1317" s="2"/>
      <c r="E1317" s="63"/>
      <c r="F1317" s="64"/>
      <c r="G1317" s="64"/>
      <c r="H1317" s="64"/>
      <c r="I1317" s="8"/>
      <c r="J1317" s="8"/>
      <c r="K1317" s="62"/>
      <c r="L1317" s="1"/>
    </row>
    <row r="1318" ht="15.6" spans="1:12">
      <c r="A1318" s="6"/>
      <c r="B1318" s="6"/>
      <c r="C1318" s="3"/>
      <c r="D1318" s="2"/>
      <c r="E1318" s="63"/>
      <c r="F1318" s="64"/>
      <c r="G1318" s="64"/>
      <c r="H1318" s="64"/>
      <c r="I1318" s="8"/>
      <c r="J1318" s="8"/>
      <c r="K1318" s="62"/>
      <c r="L1318" s="1"/>
    </row>
    <row r="1319" ht="15.6" spans="1:12">
      <c r="A1319" s="6"/>
      <c r="B1319" s="6"/>
      <c r="C1319" s="3"/>
      <c r="D1319" s="2"/>
      <c r="E1319" s="63"/>
      <c r="F1319" s="64"/>
      <c r="G1319" s="64"/>
      <c r="H1319" s="64"/>
      <c r="I1319" s="8"/>
      <c r="J1319" s="8"/>
      <c r="K1319" s="62"/>
      <c r="L1319" s="1"/>
    </row>
    <row r="1320" ht="15.6" spans="1:12">
      <c r="A1320" s="6"/>
      <c r="B1320" s="6"/>
      <c r="C1320" s="3"/>
      <c r="D1320" s="2"/>
      <c r="E1320" s="63"/>
      <c r="F1320" s="64"/>
      <c r="G1320" s="64"/>
      <c r="H1320" s="64"/>
      <c r="I1320" s="8"/>
      <c r="J1320" s="8"/>
      <c r="K1320" s="62"/>
      <c r="L1320" s="1"/>
    </row>
    <row r="1321" ht="15.6" spans="1:12">
      <c r="A1321" s="6"/>
      <c r="B1321" s="6"/>
      <c r="C1321" s="3"/>
      <c r="D1321" s="2"/>
      <c r="E1321" s="63"/>
      <c r="F1321" s="64"/>
      <c r="G1321" s="64"/>
      <c r="H1321" s="64"/>
      <c r="I1321" s="8"/>
      <c r="J1321" s="8"/>
      <c r="K1321" s="62"/>
      <c r="L1321" s="1"/>
    </row>
    <row r="1322" ht="15.6" spans="1:12">
      <c r="A1322" s="6"/>
      <c r="B1322" s="6"/>
      <c r="C1322" s="3"/>
      <c r="D1322" s="2"/>
      <c r="E1322" s="63"/>
      <c r="F1322" s="64"/>
      <c r="G1322" s="64"/>
      <c r="H1322" s="64"/>
      <c r="I1322" s="8"/>
      <c r="J1322" s="8"/>
      <c r="K1322" s="62"/>
      <c r="L1322" s="1"/>
    </row>
    <row r="1323" ht="15.6" spans="1:12">
      <c r="A1323" s="6"/>
      <c r="B1323" s="6"/>
      <c r="C1323" s="3"/>
      <c r="D1323" s="2"/>
      <c r="E1323" s="63"/>
      <c r="F1323" s="64"/>
      <c r="G1323" s="64"/>
      <c r="H1323" s="64"/>
      <c r="I1323" s="8"/>
      <c r="J1323" s="8"/>
      <c r="K1323" s="62"/>
      <c r="L1323" s="1"/>
    </row>
    <row r="1324" ht="15.6" spans="1:12">
      <c r="A1324" s="6"/>
      <c r="B1324" s="6"/>
      <c r="C1324" s="3"/>
      <c r="D1324" s="2"/>
      <c r="E1324" s="63"/>
      <c r="F1324" s="64"/>
      <c r="G1324" s="64"/>
      <c r="H1324" s="64"/>
      <c r="I1324" s="8"/>
      <c r="J1324" s="8"/>
      <c r="K1324" s="62"/>
      <c r="L1324" s="1"/>
    </row>
    <row r="1325" ht="15.6" spans="1:12">
      <c r="A1325" s="6"/>
      <c r="B1325" s="6"/>
      <c r="C1325" s="3"/>
      <c r="D1325" s="2"/>
      <c r="E1325" s="63"/>
      <c r="F1325" s="64"/>
      <c r="G1325" s="64"/>
      <c r="H1325" s="64"/>
      <c r="I1325" s="8"/>
      <c r="J1325" s="8"/>
      <c r="K1325" s="62"/>
      <c r="L1325" s="1"/>
    </row>
    <row r="1326" ht="15.6" spans="1:12">
      <c r="A1326" s="6"/>
      <c r="B1326" s="6"/>
      <c r="C1326" s="3"/>
      <c r="D1326" s="2"/>
      <c r="E1326" s="63"/>
      <c r="F1326" s="64"/>
      <c r="G1326" s="64"/>
      <c r="H1326" s="64"/>
      <c r="I1326" s="8"/>
      <c r="J1326" s="8"/>
      <c r="K1326" s="62"/>
      <c r="L1326" s="1"/>
    </row>
    <row r="1327" ht="15.6" spans="1:12">
      <c r="A1327" s="6"/>
      <c r="B1327" s="6"/>
      <c r="C1327" s="3"/>
      <c r="D1327" s="2"/>
      <c r="E1327" s="63"/>
      <c r="F1327" s="64"/>
      <c r="G1327" s="64"/>
      <c r="H1327" s="64"/>
      <c r="I1327" s="8"/>
      <c r="J1327" s="8"/>
      <c r="K1327" s="62"/>
      <c r="L1327" s="1"/>
    </row>
    <row r="1328" ht="15.6" spans="1:12">
      <c r="A1328" s="6"/>
      <c r="B1328" s="6"/>
      <c r="C1328" s="3"/>
      <c r="D1328" s="2"/>
      <c r="E1328" s="63"/>
      <c r="F1328" s="64"/>
      <c r="G1328" s="64"/>
      <c r="H1328" s="64"/>
      <c r="I1328" s="8"/>
      <c r="J1328" s="8"/>
      <c r="K1328" s="62"/>
      <c r="L1328" s="1"/>
    </row>
    <row r="1329" ht="15.6" spans="1:12">
      <c r="A1329" s="6"/>
      <c r="B1329" s="6"/>
      <c r="C1329" s="3"/>
      <c r="D1329" s="2"/>
      <c r="E1329" s="63"/>
      <c r="F1329" s="64"/>
      <c r="G1329" s="64"/>
      <c r="H1329" s="64"/>
      <c r="I1329" s="8"/>
      <c r="J1329" s="8"/>
      <c r="K1329" s="62"/>
      <c r="L1329" s="1"/>
    </row>
    <row r="1330" ht="15.6" spans="1:12">
      <c r="A1330" s="6"/>
      <c r="B1330" s="6"/>
      <c r="C1330" s="3"/>
      <c r="D1330" s="2"/>
      <c r="E1330" s="63"/>
      <c r="F1330" s="64"/>
      <c r="G1330" s="64"/>
      <c r="H1330" s="64"/>
      <c r="I1330" s="8"/>
      <c r="J1330" s="8"/>
      <c r="K1330" s="62"/>
      <c r="L1330" s="1"/>
    </row>
    <row r="1331" ht="15.6" spans="1:12">
      <c r="A1331" s="6"/>
      <c r="B1331" s="6"/>
      <c r="C1331" s="3"/>
      <c r="D1331" s="2"/>
      <c r="E1331" s="63"/>
      <c r="F1331" s="64"/>
      <c r="G1331" s="64"/>
      <c r="H1331" s="64"/>
      <c r="I1331" s="8"/>
      <c r="J1331" s="8"/>
      <c r="K1331" s="62"/>
      <c r="L1331" s="1"/>
    </row>
    <row r="1332" ht="15.6" spans="1:12">
      <c r="A1332" s="6"/>
      <c r="B1332" s="6"/>
      <c r="C1332" s="3"/>
      <c r="D1332" s="2"/>
      <c r="E1332" s="63"/>
      <c r="F1332" s="64"/>
      <c r="G1332" s="64"/>
      <c r="H1332" s="64"/>
      <c r="I1332" s="8"/>
      <c r="J1332" s="8"/>
      <c r="K1332" s="62"/>
      <c r="L1332" s="1"/>
    </row>
    <row r="1333" ht="15.6" spans="1:12">
      <c r="A1333" s="6"/>
      <c r="B1333" s="6"/>
      <c r="C1333" s="3"/>
      <c r="D1333" s="2"/>
      <c r="E1333" s="63"/>
      <c r="F1333" s="64"/>
      <c r="G1333" s="64"/>
      <c r="H1333" s="64"/>
      <c r="I1333" s="8"/>
      <c r="J1333" s="8"/>
      <c r="K1333" s="62"/>
      <c r="L1333" s="1"/>
    </row>
    <row r="1334" ht="15.6" spans="1:12">
      <c r="A1334" s="6"/>
      <c r="B1334" s="6"/>
      <c r="C1334" s="3"/>
      <c r="D1334" s="2"/>
      <c r="E1334" s="63"/>
      <c r="F1334" s="64"/>
      <c r="G1334" s="64"/>
      <c r="H1334" s="64"/>
      <c r="I1334" s="8"/>
      <c r="J1334" s="8"/>
      <c r="K1334" s="62"/>
      <c r="L1334" s="1"/>
    </row>
    <row r="1335" ht="15.6" spans="1:12">
      <c r="A1335" s="6"/>
      <c r="B1335" s="6"/>
      <c r="C1335" s="3"/>
      <c r="D1335" s="2"/>
      <c r="E1335" s="63"/>
      <c r="F1335" s="64"/>
      <c r="G1335" s="64"/>
      <c r="H1335" s="64"/>
      <c r="I1335" s="8"/>
      <c r="J1335" s="8"/>
      <c r="K1335" s="62"/>
      <c r="L1335" s="1"/>
    </row>
    <row r="1336" ht="15.6" spans="1:12">
      <c r="A1336" s="6"/>
      <c r="B1336" s="6"/>
      <c r="C1336" s="3"/>
      <c r="D1336" s="2"/>
      <c r="E1336" s="63"/>
      <c r="F1336" s="64"/>
      <c r="G1336" s="64"/>
      <c r="H1336" s="64"/>
      <c r="I1336" s="8"/>
      <c r="J1336" s="8"/>
      <c r="K1336" s="62"/>
      <c r="L1336" s="1"/>
    </row>
    <row r="1337" ht="15.6" spans="1:12">
      <c r="A1337" s="6"/>
      <c r="B1337" s="6"/>
      <c r="C1337" s="3"/>
      <c r="D1337" s="2"/>
      <c r="E1337" s="63"/>
      <c r="F1337" s="64"/>
      <c r="G1337" s="64"/>
      <c r="H1337" s="64"/>
      <c r="I1337" s="8"/>
      <c r="J1337" s="8"/>
      <c r="K1337" s="62"/>
      <c r="L1337" s="1"/>
    </row>
    <row r="1338" ht="15.6" spans="1:12">
      <c r="A1338" s="6"/>
      <c r="B1338" s="6"/>
      <c r="C1338" s="3"/>
      <c r="D1338" s="2"/>
      <c r="E1338" s="63"/>
      <c r="F1338" s="64"/>
      <c r="G1338" s="64"/>
      <c r="H1338" s="64"/>
      <c r="I1338" s="8"/>
      <c r="J1338" s="8"/>
      <c r="K1338" s="62"/>
      <c r="L1338" s="1"/>
    </row>
    <row r="1339" ht="15.6" spans="1:12">
      <c r="A1339" s="6"/>
      <c r="B1339" s="6"/>
      <c r="C1339" s="3"/>
      <c r="D1339" s="2"/>
      <c r="E1339" s="63"/>
      <c r="F1339" s="64"/>
      <c r="G1339" s="64"/>
      <c r="H1339" s="64"/>
      <c r="I1339" s="8"/>
      <c r="J1339" s="8"/>
      <c r="K1339" s="62"/>
      <c r="L1339" s="1"/>
    </row>
    <row r="1340" ht="15.6" spans="1:12">
      <c r="A1340" s="6"/>
      <c r="B1340" s="6"/>
      <c r="C1340" s="3"/>
      <c r="D1340" s="2"/>
      <c r="E1340" s="63"/>
      <c r="F1340" s="64"/>
      <c r="G1340" s="64"/>
      <c r="H1340" s="64"/>
      <c r="I1340" s="8"/>
      <c r="J1340" s="8"/>
      <c r="K1340" s="62"/>
      <c r="L1340" s="1"/>
    </row>
    <row r="1341" ht="15.6" spans="1:12">
      <c r="A1341" s="6"/>
      <c r="B1341" s="6"/>
      <c r="C1341" s="3"/>
      <c r="D1341" s="2"/>
      <c r="E1341" s="63"/>
      <c r="F1341" s="64"/>
      <c r="G1341" s="64"/>
      <c r="H1341" s="64"/>
      <c r="I1341" s="8"/>
      <c r="J1341" s="8"/>
      <c r="K1341" s="62"/>
      <c r="L1341" s="1"/>
    </row>
    <row r="1342" ht="15.6" spans="1:12">
      <c r="A1342" s="6"/>
      <c r="B1342" s="6"/>
      <c r="C1342" s="3"/>
      <c r="D1342" s="2"/>
      <c r="E1342" s="63"/>
      <c r="F1342" s="64"/>
      <c r="G1342" s="64"/>
      <c r="H1342" s="64"/>
      <c r="I1342" s="8"/>
      <c r="J1342" s="8"/>
      <c r="K1342" s="62"/>
      <c r="L1342" s="1"/>
    </row>
    <row r="1343" ht="15.6" spans="1:12">
      <c r="A1343" s="6"/>
      <c r="B1343" s="6"/>
      <c r="C1343" s="3"/>
      <c r="D1343" s="2"/>
      <c r="E1343" s="63"/>
      <c r="F1343" s="64"/>
      <c r="G1343" s="64"/>
      <c r="H1343" s="64"/>
      <c r="I1343" s="8"/>
      <c r="J1343" s="8"/>
      <c r="K1343" s="62"/>
      <c r="L1343" s="1"/>
    </row>
    <row r="1344" ht="15.6" spans="1:12">
      <c r="A1344" s="6"/>
      <c r="B1344" s="6"/>
      <c r="C1344" s="3"/>
      <c r="D1344" s="2"/>
      <c r="E1344" s="63"/>
      <c r="F1344" s="64"/>
      <c r="G1344" s="64"/>
      <c r="H1344" s="64"/>
      <c r="I1344" s="8"/>
      <c r="J1344" s="8"/>
      <c r="K1344" s="62"/>
      <c r="L1344" s="1"/>
    </row>
    <row r="1345" ht="15.6" spans="1:12">
      <c r="A1345" s="6"/>
      <c r="B1345" s="6"/>
      <c r="C1345" s="3"/>
      <c r="D1345" s="2"/>
      <c r="E1345" s="63"/>
      <c r="F1345" s="64"/>
      <c r="G1345" s="64"/>
      <c r="H1345" s="64"/>
      <c r="I1345" s="8"/>
      <c r="J1345" s="8"/>
      <c r="K1345" s="62"/>
      <c r="L1345" s="1"/>
    </row>
    <row r="1346" ht="15.6" spans="1:12">
      <c r="A1346" s="6"/>
      <c r="B1346" s="6"/>
      <c r="C1346" s="3"/>
      <c r="D1346" s="2"/>
      <c r="E1346" s="63"/>
      <c r="F1346" s="64"/>
      <c r="G1346" s="64"/>
      <c r="H1346" s="64"/>
      <c r="I1346" s="8"/>
      <c r="J1346" s="8"/>
      <c r="K1346" s="62"/>
      <c r="L1346" s="1"/>
    </row>
    <row r="1347" ht="15.6" spans="1:12">
      <c r="A1347" s="6"/>
      <c r="B1347" s="6"/>
      <c r="C1347" s="3"/>
      <c r="D1347" s="2"/>
      <c r="E1347" s="63"/>
      <c r="F1347" s="64"/>
      <c r="G1347" s="64"/>
      <c r="H1347" s="64"/>
      <c r="I1347" s="8"/>
      <c r="J1347" s="8"/>
      <c r="K1347" s="62"/>
      <c r="L1347" s="1"/>
    </row>
    <row r="1348" ht="15.6" spans="1:12">
      <c r="A1348" s="6"/>
      <c r="B1348" s="6"/>
      <c r="C1348" s="3"/>
      <c r="D1348" s="2"/>
      <c r="E1348" s="63"/>
      <c r="F1348" s="64"/>
      <c r="G1348" s="64"/>
      <c r="H1348" s="64"/>
      <c r="I1348" s="8"/>
      <c r="J1348" s="8"/>
      <c r="K1348" s="62"/>
      <c r="L1348" s="1"/>
    </row>
    <row r="1349" ht="15.6" spans="1:12">
      <c r="A1349" s="6"/>
      <c r="B1349" s="6"/>
      <c r="C1349" s="3"/>
      <c r="D1349" s="2"/>
      <c r="E1349" s="63"/>
      <c r="F1349" s="64"/>
      <c r="G1349" s="64"/>
      <c r="H1349" s="64"/>
      <c r="I1349" s="8"/>
      <c r="J1349" s="8"/>
      <c r="K1349" s="62"/>
      <c r="L1349" s="1"/>
    </row>
    <row r="1350" ht="15.6" spans="1:12">
      <c r="A1350" s="6"/>
      <c r="B1350" s="6"/>
      <c r="C1350" s="3"/>
      <c r="D1350" s="2"/>
      <c r="E1350" s="63"/>
      <c r="F1350" s="64"/>
      <c r="G1350" s="64"/>
      <c r="H1350" s="64"/>
      <c r="I1350" s="8"/>
      <c r="J1350" s="8"/>
      <c r="K1350" s="62"/>
      <c r="L1350" s="1"/>
    </row>
    <row r="1351" ht="15.6" spans="1:12">
      <c r="A1351" s="6"/>
      <c r="B1351" s="6"/>
      <c r="C1351" s="3"/>
      <c r="D1351" s="2"/>
      <c r="E1351" s="63"/>
      <c r="F1351" s="64"/>
      <c r="G1351" s="64"/>
      <c r="H1351" s="64"/>
      <c r="I1351" s="8"/>
      <c r="J1351" s="8"/>
      <c r="K1351" s="62"/>
      <c r="L1351" s="1"/>
    </row>
    <row r="1352" ht="15.6" spans="1:12">
      <c r="A1352" s="6"/>
      <c r="B1352" s="6"/>
      <c r="C1352" s="3"/>
      <c r="D1352" s="2"/>
      <c r="E1352" s="63"/>
      <c r="F1352" s="64"/>
      <c r="G1352" s="64"/>
      <c r="H1352" s="64"/>
      <c r="I1352" s="8"/>
      <c r="J1352" s="8"/>
      <c r="K1352" s="62"/>
      <c r="L1352" s="1"/>
    </row>
    <row r="1353" ht="15.6" spans="1:12">
      <c r="A1353" s="6"/>
      <c r="B1353" s="6"/>
      <c r="C1353" s="3"/>
      <c r="D1353" s="2"/>
      <c r="E1353" s="63"/>
      <c r="F1353" s="64"/>
      <c r="G1353" s="64"/>
      <c r="H1353" s="64"/>
      <c r="I1353" s="8"/>
      <c r="J1353" s="8"/>
      <c r="K1353" s="62"/>
      <c r="L1353" s="1"/>
    </row>
    <row r="1354" ht="15.6" spans="1:12">
      <c r="A1354" s="6"/>
      <c r="B1354" s="6"/>
      <c r="C1354" s="3"/>
      <c r="D1354" s="2"/>
      <c r="E1354" s="63"/>
      <c r="F1354" s="64"/>
      <c r="G1354" s="64"/>
      <c r="H1354" s="64"/>
      <c r="I1354" s="8"/>
      <c r="J1354" s="8"/>
      <c r="K1354" s="62"/>
      <c r="L1354" s="1"/>
    </row>
    <row r="1355" ht="15.6" spans="1:12">
      <c r="A1355" s="6"/>
      <c r="B1355" s="6"/>
      <c r="C1355" s="3"/>
      <c r="D1355" s="2"/>
      <c r="E1355" s="63"/>
      <c r="F1355" s="64"/>
      <c r="G1355" s="64"/>
      <c r="H1355" s="64"/>
      <c r="I1355" s="8"/>
      <c r="J1355" s="8"/>
      <c r="K1355" s="62"/>
      <c r="L1355" s="1"/>
    </row>
    <row r="1356" ht="15.6" spans="1:12">
      <c r="A1356" s="6"/>
      <c r="B1356" s="6"/>
      <c r="C1356" s="3"/>
      <c r="D1356" s="2"/>
      <c r="E1356" s="63"/>
      <c r="F1356" s="64"/>
      <c r="G1356" s="64"/>
      <c r="H1356" s="64"/>
      <c r="I1356" s="8"/>
      <c r="J1356" s="8"/>
      <c r="K1356" s="62"/>
      <c r="L1356" s="1"/>
    </row>
    <row r="1357" ht="15.6" spans="1:12">
      <c r="A1357" s="6"/>
      <c r="B1357" s="6"/>
      <c r="C1357" s="3"/>
      <c r="D1357" s="2"/>
      <c r="E1357" s="63"/>
      <c r="F1357" s="64"/>
      <c r="G1357" s="64"/>
      <c r="H1357" s="64"/>
      <c r="I1357" s="8"/>
      <c r="J1357" s="8"/>
      <c r="K1357" s="62"/>
      <c r="L1357" s="1"/>
    </row>
    <row r="1358" ht="15.6" spans="1:12">
      <c r="A1358" s="6"/>
      <c r="B1358" s="6"/>
      <c r="C1358" s="3"/>
      <c r="D1358" s="2"/>
      <c r="E1358" s="63"/>
      <c r="F1358" s="64"/>
      <c r="G1358" s="64"/>
      <c r="H1358" s="64"/>
      <c r="I1358" s="8"/>
      <c r="J1358" s="8"/>
      <c r="K1358" s="62"/>
      <c r="L1358" s="1"/>
    </row>
    <row r="1359" ht="15.6" spans="1:12">
      <c r="A1359" s="6"/>
      <c r="B1359" s="6"/>
      <c r="C1359" s="3"/>
      <c r="D1359" s="2"/>
      <c r="E1359" s="63"/>
      <c r="F1359" s="64"/>
      <c r="G1359" s="64"/>
      <c r="H1359" s="64"/>
      <c r="I1359" s="8"/>
      <c r="J1359" s="8"/>
      <c r="K1359" s="62"/>
      <c r="L1359" s="1"/>
    </row>
    <row r="1360" ht="15.6" spans="1:12">
      <c r="A1360" s="6"/>
      <c r="B1360" s="6"/>
      <c r="C1360" s="3"/>
      <c r="D1360" s="2"/>
      <c r="E1360" s="63"/>
      <c r="F1360" s="64"/>
      <c r="G1360" s="64"/>
      <c r="H1360" s="64"/>
      <c r="I1360" s="8"/>
      <c r="J1360" s="8"/>
      <c r="K1360" s="62"/>
      <c r="L1360" s="1"/>
    </row>
    <row r="1361" ht="15.6" spans="1:12">
      <c r="A1361" s="6"/>
      <c r="B1361" s="6"/>
      <c r="C1361" s="3"/>
      <c r="D1361" s="2"/>
      <c r="E1361" s="63"/>
      <c r="F1361" s="64"/>
      <c r="G1361" s="64"/>
      <c r="H1361" s="64"/>
      <c r="I1361" s="8"/>
      <c r="J1361" s="8"/>
      <c r="K1361" s="62"/>
      <c r="L1361" s="1"/>
    </row>
    <row r="1362" ht="15.6" spans="1:12">
      <c r="A1362" s="6"/>
      <c r="B1362" s="6"/>
      <c r="C1362" s="3"/>
      <c r="D1362" s="2"/>
      <c r="E1362" s="63"/>
      <c r="F1362" s="64"/>
      <c r="G1362" s="64"/>
      <c r="H1362" s="64"/>
      <c r="I1362" s="8"/>
      <c r="J1362" s="8"/>
      <c r="K1362" s="62"/>
      <c r="L1362" s="1"/>
    </row>
    <row r="1363" ht="15.6" spans="1:12">
      <c r="A1363" s="6"/>
      <c r="B1363" s="6"/>
      <c r="C1363" s="3"/>
      <c r="D1363" s="2"/>
      <c r="E1363" s="63"/>
      <c r="F1363" s="64"/>
      <c r="G1363" s="64"/>
      <c r="H1363" s="64"/>
      <c r="I1363" s="8"/>
      <c r="J1363" s="8"/>
      <c r="K1363" s="62"/>
      <c r="L1363" s="1"/>
    </row>
    <row r="1364" ht="15.6" spans="1:12">
      <c r="A1364" s="6"/>
      <c r="B1364" s="6"/>
      <c r="C1364" s="3"/>
      <c r="D1364" s="2"/>
      <c r="E1364" s="63"/>
      <c r="F1364" s="64"/>
      <c r="G1364" s="64"/>
      <c r="H1364" s="64"/>
      <c r="I1364" s="8"/>
      <c r="J1364" s="8"/>
      <c r="K1364" s="62"/>
      <c r="L1364" s="1"/>
    </row>
    <row r="1365" ht="15.6" spans="1:12">
      <c r="A1365" s="6"/>
      <c r="B1365" s="6"/>
      <c r="C1365" s="3"/>
      <c r="D1365" s="2"/>
      <c r="E1365" s="63"/>
      <c r="F1365" s="64"/>
      <c r="G1365" s="64"/>
      <c r="H1365" s="64"/>
      <c r="I1365" s="8"/>
      <c r="J1365" s="8"/>
      <c r="K1365" s="62"/>
      <c r="L1365" s="1"/>
    </row>
    <row r="1366" ht="15.6" spans="1:12">
      <c r="A1366" s="6"/>
      <c r="B1366" s="6"/>
      <c r="C1366" s="3"/>
      <c r="D1366" s="2"/>
      <c r="E1366" s="63"/>
      <c r="F1366" s="64"/>
      <c r="G1366" s="64"/>
      <c r="H1366" s="64"/>
      <c r="I1366" s="8"/>
      <c r="J1366" s="8"/>
      <c r="K1366" s="62"/>
      <c r="L1366" s="1"/>
    </row>
    <row r="1367" ht="15.6" spans="1:12">
      <c r="A1367" s="6"/>
      <c r="B1367" s="6"/>
      <c r="C1367" s="3"/>
      <c r="D1367" s="2"/>
      <c r="E1367" s="63"/>
      <c r="F1367" s="64"/>
      <c r="G1367" s="64"/>
      <c r="H1367" s="64"/>
      <c r="I1367" s="8"/>
      <c r="J1367" s="8"/>
      <c r="K1367" s="62"/>
      <c r="L1367" s="1"/>
    </row>
    <row r="1368" ht="15.6" spans="1:12">
      <c r="A1368" s="6"/>
      <c r="B1368" s="6"/>
      <c r="C1368" s="3"/>
      <c r="D1368" s="2"/>
      <c r="E1368" s="63"/>
      <c r="F1368" s="64"/>
      <c r="G1368" s="64"/>
      <c r="H1368" s="64"/>
      <c r="I1368" s="8"/>
      <c r="J1368" s="8"/>
      <c r="K1368" s="62"/>
      <c r="L1368" s="1"/>
    </row>
    <row r="1369" ht="15.6" spans="1:12">
      <c r="A1369" s="6"/>
      <c r="B1369" s="6"/>
      <c r="C1369" s="3"/>
      <c r="D1369" s="2"/>
      <c r="E1369" s="63"/>
      <c r="F1369" s="64"/>
      <c r="G1369" s="64"/>
      <c r="H1369" s="64"/>
      <c r="I1369" s="8"/>
      <c r="J1369" s="8"/>
      <c r="K1369" s="62"/>
      <c r="L1369" s="1"/>
    </row>
    <row r="1370" ht="15.6" spans="1:12">
      <c r="A1370" s="6"/>
      <c r="B1370" s="6"/>
      <c r="C1370" s="3"/>
      <c r="D1370" s="2"/>
      <c r="E1370" s="63"/>
      <c r="F1370" s="64"/>
      <c r="G1370" s="64"/>
      <c r="H1370" s="64"/>
      <c r="I1370" s="8"/>
      <c r="J1370" s="8"/>
      <c r="K1370" s="62"/>
      <c r="L1370" s="1"/>
    </row>
    <row r="1371" ht="15.6" spans="1:12">
      <c r="A1371" s="6"/>
      <c r="B1371" s="6"/>
      <c r="C1371" s="3"/>
      <c r="D1371" s="2"/>
      <c r="E1371" s="63"/>
      <c r="F1371" s="64"/>
      <c r="G1371" s="64"/>
      <c r="H1371" s="64"/>
      <c r="I1371" s="8"/>
      <c r="J1371" s="8"/>
      <c r="K1371" s="62"/>
      <c r="L1371" s="1"/>
    </row>
    <row r="1372" ht="15.6" spans="1:12">
      <c r="A1372" s="6"/>
      <c r="B1372" s="6"/>
      <c r="C1372" s="3"/>
      <c r="D1372" s="2"/>
      <c r="E1372" s="63"/>
      <c r="F1372" s="64"/>
      <c r="G1372" s="64"/>
      <c r="H1372" s="64"/>
      <c r="I1372" s="8"/>
      <c r="J1372" s="8"/>
      <c r="K1372" s="62"/>
      <c r="L1372" s="1"/>
    </row>
    <row r="1373" ht="15.6" spans="1:12">
      <c r="A1373" s="6"/>
      <c r="B1373" s="6"/>
      <c r="C1373" s="3"/>
      <c r="D1373" s="2"/>
      <c r="E1373" s="63"/>
      <c r="F1373" s="64"/>
      <c r="G1373" s="64"/>
      <c r="H1373" s="64"/>
      <c r="I1373" s="8"/>
      <c r="J1373" s="8"/>
      <c r="K1373" s="62"/>
      <c r="L1373" s="1"/>
    </row>
    <row r="1374" ht="15.6" spans="1:12">
      <c r="A1374" s="6"/>
      <c r="B1374" s="6"/>
      <c r="C1374" s="3"/>
      <c r="D1374" s="2"/>
      <c r="E1374" s="63"/>
      <c r="F1374" s="64"/>
      <c r="G1374" s="64"/>
      <c r="H1374" s="64"/>
      <c r="I1374" s="8"/>
      <c r="J1374" s="8"/>
      <c r="K1374" s="62"/>
      <c r="L1374" s="1"/>
    </row>
    <row r="1375" ht="15.6" spans="1:12">
      <c r="A1375" s="6"/>
      <c r="B1375" s="6"/>
      <c r="C1375" s="3"/>
      <c r="D1375" s="2"/>
      <c r="E1375" s="63"/>
      <c r="F1375" s="64"/>
      <c r="G1375" s="64"/>
      <c r="H1375" s="64"/>
      <c r="I1375" s="8"/>
      <c r="J1375" s="8"/>
      <c r="K1375" s="62"/>
      <c r="L1375" s="1"/>
    </row>
    <row r="1376" ht="15.6" spans="1:12">
      <c r="A1376" s="6"/>
      <c r="B1376" s="6"/>
      <c r="C1376" s="3"/>
      <c r="D1376" s="2"/>
      <c r="E1376" s="63"/>
      <c r="F1376" s="64"/>
      <c r="G1376" s="64"/>
      <c r="H1376" s="64"/>
      <c r="I1376" s="8"/>
      <c r="J1376" s="8"/>
      <c r="K1376" s="62"/>
      <c r="L1376" s="1"/>
    </row>
    <row r="1377" ht="15.6" spans="1:12">
      <c r="A1377" s="6"/>
      <c r="B1377" s="6"/>
      <c r="C1377" s="3"/>
      <c r="D1377" s="2"/>
      <c r="E1377" s="63"/>
      <c r="F1377" s="64"/>
      <c r="G1377" s="64"/>
      <c r="H1377" s="64"/>
      <c r="I1377" s="8"/>
      <c r="J1377" s="8"/>
      <c r="K1377" s="62"/>
      <c r="L1377" s="1"/>
    </row>
    <row r="1378" ht="15.6" spans="1:12">
      <c r="A1378" s="6"/>
      <c r="B1378" s="6"/>
      <c r="C1378" s="3"/>
      <c r="D1378" s="2"/>
      <c r="E1378" s="63"/>
      <c r="F1378" s="64"/>
      <c r="G1378" s="64"/>
      <c r="H1378" s="64"/>
      <c r="I1378" s="8"/>
      <c r="J1378" s="8"/>
      <c r="K1378" s="62"/>
      <c r="L1378" s="1"/>
    </row>
    <row r="1379" ht="15.6" spans="1:12">
      <c r="A1379" s="6"/>
      <c r="B1379" s="6"/>
      <c r="C1379" s="3"/>
      <c r="D1379" s="2"/>
      <c r="E1379" s="63"/>
      <c r="F1379" s="64"/>
      <c r="G1379" s="64"/>
      <c r="H1379" s="64"/>
      <c r="I1379" s="8"/>
      <c r="J1379" s="8"/>
      <c r="K1379" s="62"/>
      <c r="L1379" s="1"/>
    </row>
    <row r="1380" ht="15.6" spans="1:12">
      <c r="A1380" s="6"/>
      <c r="B1380" s="6"/>
      <c r="C1380" s="3"/>
      <c r="D1380" s="2"/>
      <c r="E1380" s="63"/>
      <c r="F1380" s="64"/>
      <c r="G1380" s="64"/>
      <c r="H1380" s="64"/>
      <c r="I1380" s="8"/>
      <c r="J1380" s="8"/>
      <c r="K1380" s="62"/>
      <c r="L1380" s="1"/>
    </row>
    <row r="1381" ht="15.6" spans="1:12">
      <c r="A1381" s="6"/>
      <c r="B1381" s="6"/>
      <c r="C1381" s="3"/>
      <c r="D1381" s="2"/>
      <c r="E1381" s="63"/>
      <c r="F1381" s="64"/>
      <c r="G1381" s="64"/>
      <c r="H1381" s="64"/>
      <c r="I1381" s="8"/>
      <c r="J1381" s="8"/>
      <c r="K1381" s="62"/>
      <c r="L1381" s="1"/>
    </row>
    <row r="1382" ht="15.6" spans="1:12">
      <c r="A1382" s="6"/>
      <c r="B1382" s="6"/>
      <c r="C1382" s="3"/>
      <c r="D1382" s="2"/>
      <c r="E1382" s="63"/>
      <c r="F1382" s="64"/>
      <c r="G1382" s="64"/>
      <c r="H1382" s="64"/>
      <c r="I1382" s="8"/>
      <c r="J1382" s="8"/>
      <c r="K1382" s="62"/>
      <c r="L1382" s="1"/>
    </row>
    <row r="1383" ht="15.6" spans="1:12">
      <c r="A1383" s="6"/>
      <c r="B1383" s="6"/>
      <c r="C1383" s="3"/>
      <c r="D1383" s="2"/>
      <c r="E1383" s="63"/>
      <c r="F1383" s="64"/>
      <c r="G1383" s="64"/>
      <c r="H1383" s="64"/>
      <c r="I1383" s="8"/>
      <c r="J1383" s="8"/>
      <c r="K1383" s="62"/>
      <c r="L1383" s="1"/>
    </row>
    <row r="1384" ht="15.6" spans="1:12">
      <c r="A1384" s="6"/>
      <c r="B1384" s="6"/>
      <c r="C1384" s="3"/>
      <c r="D1384" s="2"/>
      <c r="E1384" s="63"/>
      <c r="F1384" s="64"/>
      <c r="G1384" s="64"/>
      <c r="H1384" s="64"/>
      <c r="I1384" s="8"/>
      <c r="J1384" s="8"/>
      <c r="K1384" s="62"/>
      <c r="L1384" s="1"/>
    </row>
    <row r="1385" ht="15.6" spans="1:12">
      <c r="A1385" s="6"/>
      <c r="B1385" s="6"/>
      <c r="C1385" s="3"/>
      <c r="D1385" s="2"/>
      <c r="E1385" s="63"/>
      <c r="F1385" s="64"/>
      <c r="G1385" s="64"/>
      <c r="H1385" s="64"/>
      <c r="I1385" s="8"/>
      <c r="J1385" s="8"/>
      <c r="K1385" s="62"/>
      <c r="L1385" s="1"/>
    </row>
    <row r="1386" ht="15.6" spans="1:12">
      <c r="A1386" s="6"/>
      <c r="B1386" s="6"/>
      <c r="C1386" s="3"/>
      <c r="D1386" s="2"/>
      <c r="E1386" s="63"/>
      <c r="F1386" s="64"/>
      <c r="G1386" s="64"/>
      <c r="H1386" s="64"/>
      <c r="I1386" s="8"/>
      <c r="J1386" s="8"/>
      <c r="K1386" s="62"/>
      <c r="L1386" s="1"/>
    </row>
    <row r="1387" ht="15.6" spans="1:12">
      <c r="A1387" s="6"/>
      <c r="B1387" s="6"/>
      <c r="C1387" s="3"/>
      <c r="D1387" s="2"/>
      <c r="E1387" s="63"/>
      <c r="F1387" s="64"/>
      <c r="G1387" s="64"/>
      <c r="H1387" s="64"/>
      <c r="I1387" s="8"/>
      <c r="J1387" s="8"/>
      <c r="K1387" s="62"/>
      <c r="L1387" s="1"/>
    </row>
    <row r="1388" ht="15.6" spans="1:12">
      <c r="A1388" s="6"/>
      <c r="B1388" s="6"/>
      <c r="C1388" s="3"/>
      <c r="D1388" s="2"/>
      <c r="E1388" s="63"/>
      <c r="F1388" s="64"/>
      <c r="G1388" s="64"/>
      <c r="H1388" s="64"/>
      <c r="I1388" s="8"/>
      <c r="J1388" s="8"/>
      <c r="K1388" s="62"/>
      <c r="L1388" s="1"/>
    </row>
    <row r="1389" ht="15.6" spans="1:12">
      <c r="A1389" s="6"/>
      <c r="B1389" s="6"/>
      <c r="C1389" s="3"/>
      <c r="D1389" s="2"/>
      <c r="E1389" s="63"/>
      <c r="F1389" s="64"/>
      <c r="G1389" s="64"/>
      <c r="H1389" s="64"/>
      <c r="I1389" s="8"/>
      <c r="J1389" s="8"/>
      <c r="K1389" s="62"/>
      <c r="L1389" s="1"/>
    </row>
    <row r="1390" ht="15.6" spans="1:12">
      <c r="A1390" s="6"/>
      <c r="B1390" s="6"/>
      <c r="C1390" s="3"/>
      <c r="D1390" s="2"/>
      <c r="E1390" s="63"/>
      <c r="F1390" s="64"/>
      <c r="G1390" s="64"/>
      <c r="H1390" s="64"/>
      <c r="I1390" s="8"/>
      <c r="J1390" s="8"/>
      <c r="K1390" s="62"/>
      <c r="L1390" s="1"/>
    </row>
    <row r="1391" ht="15.6" spans="1:12">
      <c r="A1391" s="6"/>
      <c r="B1391" s="6"/>
      <c r="C1391" s="3"/>
      <c r="D1391" s="2"/>
      <c r="E1391" s="63"/>
      <c r="F1391" s="64"/>
      <c r="G1391" s="64"/>
      <c r="H1391" s="64"/>
      <c r="I1391" s="8"/>
      <c r="J1391" s="8"/>
      <c r="K1391" s="62"/>
      <c r="L1391" s="1"/>
    </row>
    <row r="1392" ht="15.6" spans="1:12">
      <c r="A1392" s="6"/>
      <c r="B1392" s="6"/>
      <c r="C1392" s="3"/>
      <c r="D1392" s="2"/>
      <c r="E1392" s="63"/>
      <c r="F1392" s="64"/>
      <c r="G1392" s="64"/>
      <c r="H1392" s="64"/>
      <c r="I1392" s="8"/>
      <c r="J1392" s="8"/>
      <c r="K1392" s="62"/>
      <c r="L1392" s="1"/>
    </row>
    <row r="1393" ht="15.6" spans="1:12">
      <c r="A1393" s="6"/>
      <c r="B1393" s="6"/>
      <c r="C1393" s="3"/>
      <c r="D1393" s="2"/>
      <c r="E1393" s="63"/>
      <c r="F1393" s="64"/>
      <c r="G1393" s="64"/>
      <c r="H1393" s="64"/>
      <c r="I1393" s="8"/>
      <c r="J1393" s="8"/>
      <c r="K1393" s="62"/>
      <c r="L1393" s="1"/>
    </row>
    <row r="1394" ht="15.6" spans="1:12">
      <c r="A1394" s="6"/>
      <c r="B1394" s="6"/>
      <c r="C1394" s="3"/>
      <c r="D1394" s="2"/>
      <c r="E1394" s="63"/>
      <c r="F1394" s="64"/>
      <c r="G1394" s="64"/>
      <c r="H1394" s="64"/>
      <c r="I1394" s="8"/>
      <c r="J1394" s="8"/>
      <c r="K1394" s="62"/>
      <c r="L1394" s="1"/>
    </row>
    <row r="1395" ht="15.6" spans="1:12">
      <c r="A1395" s="6"/>
      <c r="B1395" s="6"/>
      <c r="C1395" s="3"/>
      <c r="D1395" s="2"/>
      <c r="E1395" s="63"/>
      <c r="F1395" s="64"/>
      <c r="G1395" s="64"/>
      <c r="H1395" s="64"/>
      <c r="I1395" s="8"/>
      <c r="J1395" s="8"/>
      <c r="K1395" s="62"/>
      <c r="L1395" s="1"/>
    </row>
    <row r="1396" ht="15.6" spans="1:12">
      <c r="A1396" s="6"/>
      <c r="B1396" s="6"/>
      <c r="C1396" s="3"/>
      <c r="D1396" s="2"/>
      <c r="E1396" s="63"/>
      <c r="F1396" s="64"/>
      <c r="G1396" s="64"/>
      <c r="H1396" s="64"/>
      <c r="I1396" s="8"/>
      <c r="J1396" s="8"/>
      <c r="K1396" s="62"/>
      <c r="L1396" s="1"/>
    </row>
    <row r="1397" ht="15.6" spans="1:12">
      <c r="A1397" s="6"/>
      <c r="B1397" s="6"/>
      <c r="C1397" s="3"/>
      <c r="D1397" s="2"/>
      <c r="E1397" s="63"/>
      <c r="F1397" s="64"/>
      <c r="G1397" s="64"/>
      <c r="H1397" s="64"/>
      <c r="I1397" s="8"/>
      <c r="J1397" s="8"/>
      <c r="K1397" s="62"/>
      <c r="L1397" s="1"/>
    </row>
    <row r="1398" ht="15.6" spans="1:12">
      <c r="A1398" s="6"/>
      <c r="B1398" s="6"/>
      <c r="C1398" s="3"/>
      <c r="D1398" s="2"/>
      <c r="E1398" s="63"/>
      <c r="F1398" s="64"/>
      <c r="G1398" s="64"/>
      <c r="H1398" s="64"/>
      <c r="I1398" s="8"/>
      <c r="J1398" s="8"/>
      <c r="K1398" s="62"/>
      <c r="L1398" s="1"/>
    </row>
    <row r="1399" ht="15.6" spans="1:12">
      <c r="A1399" s="6"/>
      <c r="B1399" s="6"/>
      <c r="C1399" s="3"/>
      <c r="D1399" s="2"/>
      <c r="E1399" s="63"/>
      <c r="F1399" s="64"/>
      <c r="G1399" s="64"/>
      <c r="H1399" s="64"/>
      <c r="I1399" s="8"/>
      <c r="J1399" s="8"/>
      <c r="K1399" s="62"/>
      <c r="L1399" s="1"/>
    </row>
    <row r="1400" ht="15.6" spans="1:12">
      <c r="A1400" s="6"/>
      <c r="B1400" s="6"/>
      <c r="C1400" s="3"/>
      <c r="D1400" s="2"/>
      <c r="E1400" s="63"/>
      <c r="F1400" s="64"/>
      <c r="G1400" s="64"/>
      <c r="H1400" s="64"/>
      <c r="I1400" s="8"/>
      <c r="J1400" s="8"/>
      <c r="K1400" s="62"/>
      <c r="L1400" s="1"/>
    </row>
    <row r="1401" ht="15.6" spans="1:12">
      <c r="A1401" s="6"/>
      <c r="B1401" s="6"/>
      <c r="C1401" s="3"/>
      <c r="D1401" s="2"/>
      <c r="E1401" s="63"/>
      <c r="F1401" s="64"/>
      <c r="G1401" s="64"/>
      <c r="H1401" s="64"/>
      <c r="I1401" s="8"/>
      <c r="J1401" s="8"/>
      <c r="K1401" s="62"/>
      <c r="L1401" s="1"/>
    </row>
    <row r="1402" ht="15.6" spans="1:12">
      <c r="A1402" s="6"/>
      <c r="B1402" s="6"/>
      <c r="C1402" s="3"/>
      <c r="D1402" s="2"/>
      <c r="E1402" s="63"/>
      <c r="F1402" s="64"/>
      <c r="G1402" s="64"/>
      <c r="H1402" s="64"/>
      <c r="I1402" s="8"/>
      <c r="J1402" s="8"/>
      <c r="K1402" s="62"/>
      <c r="L1402" s="1"/>
    </row>
    <row r="1403" ht="15.6" spans="1:12">
      <c r="A1403" s="6"/>
      <c r="B1403" s="6"/>
      <c r="C1403" s="3"/>
      <c r="D1403" s="2"/>
      <c r="E1403" s="63"/>
      <c r="F1403" s="64"/>
      <c r="G1403" s="64"/>
      <c r="H1403" s="64"/>
      <c r="I1403" s="8"/>
      <c r="J1403" s="8"/>
      <c r="K1403" s="62"/>
      <c r="L1403" s="1"/>
    </row>
    <row r="1404" ht="15.6" spans="1:12">
      <c r="A1404" s="6"/>
      <c r="B1404" s="6"/>
      <c r="C1404" s="3"/>
      <c r="D1404" s="2"/>
      <c r="E1404" s="63"/>
      <c r="F1404" s="64"/>
      <c r="G1404" s="64"/>
      <c r="H1404" s="64"/>
      <c r="I1404" s="8"/>
      <c r="J1404" s="8"/>
      <c r="K1404" s="62"/>
      <c r="L1404" s="1"/>
    </row>
    <row r="1405" ht="15.6" spans="1:12">
      <c r="A1405" s="6"/>
      <c r="B1405" s="6"/>
      <c r="C1405" s="3"/>
      <c r="D1405" s="2"/>
      <c r="E1405" s="63"/>
      <c r="F1405" s="64"/>
      <c r="G1405" s="64"/>
      <c r="H1405" s="64"/>
      <c r="I1405" s="8"/>
      <c r="J1405" s="8"/>
      <c r="K1405" s="62"/>
      <c r="L1405" s="1"/>
    </row>
    <row r="1406" ht="15.6" spans="1:12">
      <c r="A1406" s="6"/>
      <c r="B1406" s="6"/>
      <c r="C1406" s="3"/>
      <c r="D1406" s="2"/>
      <c r="E1406" s="63"/>
      <c r="F1406" s="64"/>
      <c r="G1406" s="64"/>
      <c r="H1406" s="64"/>
      <c r="I1406" s="8"/>
      <c r="J1406" s="8"/>
      <c r="K1406" s="62"/>
      <c r="L1406" s="1"/>
    </row>
    <row r="1407" ht="15.6" spans="1:12">
      <c r="A1407" s="6"/>
      <c r="B1407" s="6"/>
      <c r="C1407" s="3"/>
      <c r="D1407" s="2"/>
      <c r="E1407" s="63"/>
      <c r="F1407" s="64"/>
      <c r="G1407" s="64"/>
      <c r="H1407" s="64"/>
      <c r="I1407" s="8"/>
      <c r="J1407" s="8"/>
      <c r="K1407" s="62"/>
      <c r="L1407" s="1"/>
    </row>
    <row r="1408" ht="15.6" spans="1:12">
      <c r="A1408" s="6"/>
      <c r="B1408" s="6"/>
      <c r="C1408" s="3"/>
      <c r="D1408" s="2"/>
      <c r="E1408" s="63"/>
      <c r="F1408" s="64"/>
      <c r="G1408" s="64"/>
      <c r="H1408" s="64"/>
      <c r="I1408" s="8"/>
      <c r="J1408" s="8"/>
      <c r="K1408" s="62"/>
      <c r="L1408" s="1"/>
    </row>
    <row r="1409" ht="15.6" spans="1:12">
      <c r="A1409" s="6"/>
      <c r="B1409" s="6"/>
      <c r="C1409" s="3"/>
      <c r="D1409" s="2"/>
      <c r="E1409" s="63"/>
      <c r="F1409" s="64"/>
      <c r="G1409" s="64"/>
      <c r="H1409" s="64"/>
      <c r="I1409" s="8"/>
      <c r="J1409" s="8"/>
      <c r="K1409" s="62"/>
      <c r="L1409" s="1"/>
    </row>
    <row r="1410" ht="15.6" spans="1:12">
      <c r="A1410" s="6"/>
      <c r="B1410" s="6"/>
      <c r="C1410" s="3"/>
      <c r="D1410" s="2"/>
      <c r="E1410" s="63"/>
      <c r="F1410" s="64"/>
      <c r="G1410" s="64"/>
      <c r="H1410" s="64"/>
      <c r="I1410" s="8"/>
      <c r="J1410" s="8"/>
      <c r="K1410" s="62"/>
      <c r="L1410" s="1"/>
    </row>
    <row r="1411" ht="15.6" spans="1:12">
      <c r="A1411" s="6"/>
      <c r="B1411" s="6"/>
      <c r="C1411" s="3"/>
      <c r="D1411" s="2"/>
      <c r="E1411" s="63"/>
      <c r="F1411" s="64"/>
      <c r="G1411" s="64"/>
      <c r="H1411" s="64"/>
      <c r="I1411" s="8"/>
      <c r="J1411" s="8"/>
      <c r="K1411" s="62"/>
      <c r="L1411" s="1"/>
    </row>
    <row r="1412" ht="15.6" spans="1:12">
      <c r="A1412" s="6"/>
      <c r="B1412" s="6"/>
      <c r="C1412" s="3"/>
      <c r="D1412" s="2"/>
      <c r="E1412" s="63"/>
      <c r="F1412" s="64"/>
      <c r="G1412" s="64"/>
      <c r="H1412" s="64"/>
      <c r="I1412" s="8"/>
      <c r="J1412" s="8"/>
      <c r="K1412" s="62"/>
      <c r="L1412" s="1"/>
    </row>
    <row r="1413" ht="15.6" spans="1:12">
      <c r="A1413" s="6"/>
      <c r="B1413" s="6"/>
      <c r="C1413" s="3"/>
      <c r="D1413" s="2"/>
      <c r="E1413" s="63"/>
      <c r="F1413" s="64"/>
      <c r="G1413" s="64"/>
      <c r="H1413" s="64"/>
      <c r="I1413" s="8"/>
      <c r="J1413" s="8"/>
      <c r="K1413" s="62"/>
      <c r="L1413" s="1"/>
    </row>
    <row r="1414" ht="15.6" spans="1:12">
      <c r="A1414" s="6"/>
      <c r="B1414" s="6"/>
      <c r="C1414" s="3"/>
      <c r="D1414" s="2"/>
      <c r="E1414" s="63"/>
      <c r="F1414" s="64"/>
      <c r="G1414" s="64"/>
      <c r="H1414" s="64"/>
      <c r="I1414" s="8"/>
      <c r="J1414" s="8"/>
      <c r="K1414" s="62"/>
      <c r="L1414" s="1"/>
    </row>
    <row r="1415" ht="15.6" spans="1:12">
      <c r="A1415" s="6"/>
      <c r="B1415" s="6"/>
      <c r="C1415" s="3"/>
      <c r="D1415" s="2"/>
      <c r="E1415" s="63"/>
      <c r="F1415" s="64"/>
      <c r="G1415" s="64"/>
      <c r="H1415" s="64"/>
      <c r="I1415" s="8"/>
      <c r="J1415" s="8"/>
      <c r="K1415" s="62"/>
      <c r="L1415" s="1"/>
    </row>
    <row r="1416" ht="15.6" spans="1:12">
      <c r="A1416" s="6"/>
      <c r="B1416" s="6"/>
      <c r="C1416" s="3"/>
      <c r="D1416" s="2"/>
      <c r="E1416" s="63"/>
      <c r="F1416" s="64"/>
      <c r="G1416" s="64"/>
      <c r="H1416" s="64"/>
      <c r="I1416" s="8"/>
      <c r="J1416" s="8"/>
      <c r="K1416" s="62"/>
      <c r="L1416" s="1"/>
    </row>
    <row r="1417" ht="15.6" spans="1:12">
      <c r="A1417" s="6"/>
      <c r="B1417" s="6"/>
      <c r="C1417" s="3"/>
      <c r="D1417" s="2"/>
      <c r="E1417" s="63"/>
      <c r="F1417" s="64"/>
      <c r="G1417" s="64"/>
      <c r="H1417" s="64"/>
      <c r="I1417" s="8"/>
      <c r="J1417" s="8"/>
      <c r="K1417" s="62"/>
      <c r="L1417" s="1"/>
    </row>
    <row r="1418" ht="15.6" spans="1:12">
      <c r="A1418" s="6"/>
      <c r="B1418" s="6"/>
      <c r="C1418" s="3"/>
      <c r="D1418" s="2"/>
      <c r="E1418" s="63"/>
      <c r="F1418" s="64"/>
      <c r="G1418" s="64"/>
      <c r="H1418" s="64"/>
      <c r="I1418" s="8"/>
      <c r="J1418" s="8"/>
      <c r="K1418" s="62"/>
      <c r="L1418" s="1"/>
    </row>
    <row r="1419" ht="15.6" spans="1:12">
      <c r="A1419" s="6"/>
      <c r="B1419" s="6"/>
      <c r="C1419" s="3"/>
      <c r="D1419" s="2"/>
      <c r="E1419" s="63"/>
      <c r="F1419" s="64"/>
      <c r="G1419" s="64"/>
      <c r="H1419" s="64"/>
      <c r="I1419" s="8"/>
      <c r="J1419" s="8"/>
      <c r="K1419" s="62"/>
      <c r="L1419" s="1"/>
    </row>
    <row r="1420" ht="15.6" spans="1:12">
      <c r="A1420" s="6"/>
      <c r="B1420" s="6"/>
      <c r="C1420" s="3"/>
      <c r="D1420" s="2"/>
      <c r="E1420" s="63"/>
      <c r="F1420" s="64"/>
      <c r="G1420" s="64"/>
      <c r="H1420" s="64"/>
      <c r="I1420" s="8"/>
      <c r="J1420" s="8"/>
      <c r="K1420" s="62"/>
      <c r="L1420" s="1"/>
    </row>
    <row r="1421" ht="15.6" spans="1:12">
      <c r="A1421" s="6"/>
      <c r="B1421" s="6"/>
      <c r="C1421" s="3"/>
      <c r="D1421" s="2"/>
      <c r="E1421" s="63"/>
      <c r="F1421" s="64"/>
      <c r="G1421" s="64"/>
      <c r="H1421" s="64"/>
      <c r="I1421" s="8"/>
      <c r="J1421" s="8"/>
      <c r="K1421" s="62"/>
      <c r="L1421" s="1"/>
    </row>
    <row r="1422" ht="15.6" spans="1:12">
      <c r="A1422" s="6"/>
      <c r="B1422" s="6"/>
      <c r="C1422" s="3"/>
      <c r="D1422" s="2"/>
      <c r="E1422" s="63"/>
      <c r="F1422" s="64"/>
      <c r="G1422" s="64"/>
      <c r="H1422" s="64"/>
      <c r="I1422" s="8"/>
      <c r="J1422" s="8"/>
      <c r="K1422" s="62"/>
      <c r="L1422" s="1"/>
    </row>
    <row r="1423" ht="15.6" spans="1:12">
      <c r="A1423" s="6"/>
      <c r="B1423" s="6"/>
      <c r="C1423" s="3"/>
      <c r="D1423" s="2"/>
      <c r="E1423" s="63"/>
      <c r="F1423" s="64"/>
      <c r="G1423" s="64"/>
      <c r="H1423" s="64"/>
      <c r="I1423" s="8"/>
      <c r="J1423" s="8"/>
      <c r="K1423" s="62"/>
      <c r="L1423" s="1"/>
    </row>
    <row r="1424" ht="15.6" spans="1:12">
      <c r="A1424" s="6"/>
      <c r="B1424" s="6"/>
      <c r="C1424" s="3"/>
      <c r="D1424" s="2"/>
      <c r="E1424" s="63"/>
      <c r="F1424" s="64"/>
      <c r="G1424" s="64"/>
      <c r="H1424" s="64"/>
      <c r="I1424" s="8"/>
      <c r="J1424" s="8"/>
      <c r="K1424" s="62"/>
      <c r="L1424" s="1"/>
    </row>
    <row r="1425" ht="15.6" spans="1:12">
      <c r="A1425" s="6"/>
      <c r="B1425" s="6"/>
      <c r="C1425" s="3"/>
      <c r="D1425" s="2"/>
      <c r="E1425" s="63"/>
      <c r="F1425" s="64"/>
      <c r="G1425" s="64"/>
      <c r="H1425" s="64"/>
      <c r="I1425" s="8"/>
      <c r="J1425" s="8"/>
      <c r="K1425" s="62"/>
      <c r="L1425" s="1"/>
    </row>
    <row r="1426" ht="15.6" spans="1:12">
      <c r="A1426" s="6"/>
      <c r="B1426" s="6"/>
      <c r="C1426" s="3"/>
      <c r="D1426" s="2"/>
      <c r="E1426" s="63"/>
      <c r="F1426" s="64"/>
      <c r="G1426" s="64"/>
      <c r="H1426" s="64"/>
      <c r="I1426" s="8"/>
      <c r="J1426" s="8"/>
      <c r="K1426" s="62"/>
      <c r="L1426" s="1"/>
    </row>
    <row r="1427" ht="15.6" spans="1:12">
      <c r="A1427" s="6"/>
      <c r="B1427" s="6"/>
      <c r="C1427" s="3"/>
      <c r="D1427" s="2"/>
      <c r="E1427" s="63"/>
      <c r="F1427" s="64"/>
      <c r="G1427" s="64"/>
      <c r="H1427" s="64"/>
      <c r="I1427" s="8"/>
      <c r="J1427" s="8"/>
      <c r="K1427" s="62"/>
      <c r="L1427" s="1"/>
    </row>
    <row r="1428" ht="15.6" spans="1:12">
      <c r="A1428" s="6"/>
      <c r="B1428" s="6"/>
      <c r="C1428" s="3"/>
      <c r="D1428" s="2"/>
      <c r="E1428" s="63"/>
      <c r="F1428" s="64"/>
      <c r="G1428" s="64"/>
      <c r="H1428" s="64"/>
      <c r="I1428" s="8"/>
      <c r="J1428" s="8"/>
      <c r="K1428" s="62"/>
      <c r="L1428" s="1"/>
    </row>
    <row r="1429" ht="15.6" spans="1:12">
      <c r="A1429" s="6"/>
      <c r="B1429" s="6"/>
      <c r="C1429" s="3"/>
      <c r="D1429" s="2"/>
      <c r="E1429" s="63"/>
      <c r="F1429" s="64"/>
      <c r="G1429" s="64"/>
      <c r="H1429" s="64"/>
      <c r="I1429" s="8"/>
      <c r="J1429" s="8"/>
      <c r="K1429" s="62"/>
      <c r="L1429" s="1"/>
    </row>
    <row r="1430" ht="15.6" spans="1:12">
      <c r="A1430" s="6"/>
      <c r="B1430" s="6"/>
      <c r="C1430" s="3"/>
      <c r="D1430" s="2"/>
      <c r="E1430" s="63"/>
      <c r="F1430" s="64"/>
      <c r="G1430" s="64"/>
      <c r="H1430" s="64"/>
      <c r="I1430" s="8"/>
      <c r="J1430" s="8"/>
      <c r="K1430" s="62"/>
      <c r="L1430" s="1"/>
    </row>
    <row r="1431" ht="15.6" spans="1:12">
      <c r="A1431" s="6"/>
      <c r="B1431" s="6"/>
      <c r="C1431" s="3"/>
      <c r="D1431" s="2"/>
      <c r="E1431" s="63"/>
      <c r="F1431" s="64"/>
      <c r="G1431" s="64"/>
      <c r="H1431" s="64"/>
      <c r="I1431" s="8"/>
      <c r="J1431" s="8"/>
      <c r="K1431" s="62"/>
      <c r="L1431" s="1"/>
    </row>
    <row r="1432" ht="15.6" spans="1:12">
      <c r="A1432" s="6"/>
      <c r="B1432" s="6"/>
      <c r="C1432" s="3"/>
      <c r="D1432" s="2"/>
      <c r="E1432" s="63"/>
      <c r="F1432" s="64"/>
      <c r="G1432" s="64"/>
      <c r="H1432" s="64"/>
      <c r="I1432" s="8"/>
      <c r="J1432" s="8"/>
      <c r="K1432" s="62"/>
      <c r="L1432" s="1"/>
    </row>
    <row r="1433" ht="15.6" spans="1:12">
      <c r="A1433" s="6"/>
      <c r="B1433" s="6"/>
      <c r="C1433" s="3"/>
      <c r="D1433" s="2"/>
      <c r="E1433" s="63"/>
      <c r="F1433" s="64"/>
      <c r="G1433" s="64"/>
      <c r="H1433" s="64"/>
      <c r="I1433" s="8"/>
      <c r="J1433" s="8"/>
      <c r="K1433" s="62"/>
      <c r="L1433" s="1"/>
    </row>
    <row r="1434" ht="15.6" spans="1:12">
      <c r="A1434" s="6"/>
      <c r="B1434" s="6"/>
      <c r="C1434" s="3"/>
      <c r="D1434" s="2"/>
      <c r="E1434" s="63"/>
      <c r="F1434" s="64"/>
      <c r="G1434" s="64"/>
      <c r="H1434" s="64"/>
      <c r="I1434" s="8"/>
      <c r="J1434" s="8"/>
      <c r="K1434" s="62"/>
      <c r="L1434" s="1"/>
    </row>
    <row r="1435" ht="15.6" spans="1:12">
      <c r="A1435" s="6"/>
      <c r="B1435" s="6"/>
      <c r="C1435" s="3"/>
      <c r="D1435" s="2"/>
      <c r="E1435" s="63"/>
      <c r="F1435" s="64"/>
      <c r="G1435" s="64"/>
      <c r="H1435" s="64"/>
      <c r="I1435" s="8"/>
      <c r="J1435" s="8"/>
      <c r="K1435" s="62"/>
      <c r="L1435" s="1"/>
    </row>
    <row r="1436" ht="15.6" spans="1:12">
      <c r="A1436" s="6"/>
      <c r="B1436" s="6"/>
      <c r="C1436" s="3"/>
      <c r="D1436" s="2"/>
      <c r="E1436" s="63"/>
      <c r="F1436" s="64"/>
      <c r="G1436" s="64"/>
      <c r="H1436" s="64"/>
      <c r="I1436" s="8"/>
      <c r="J1436" s="8"/>
      <c r="K1436" s="62"/>
      <c r="L1436" s="1"/>
    </row>
    <row r="1437" ht="15.6" spans="1:12">
      <c r="A1437" s="6"/>
      <c r="B1437" s="6"/>
      <c r="C1437" s="3"/>
      <c r="D1437" s="2"/>
      <c r="E1437" s="63"/>
      <c r="F1437" s="64"/>
      <c r="G1437" s="64"/>
      <c r="H1437" s="64"/>
      <c r="I1437" s="8"/>
      <c r="J1437" s="8"/>
      <c r="K1437" s="62"/>
      <c r="L1437" s="1"/>
    </row>
    <row r="1438" ht="15.6" spans="1:12">
      <c r="A1438" s="6"/>
      <c r="B1438" s="6"/>
      <c r="C1438" s="3"/>
      <c r="D1438" s="2"/>
      <c r="E1438" s="63"/>
      <c r="F1438" s="64"/>
      <c r="G1438" s="64"/>
      <c r="H1438" s="64"/>
      <c r="I1438" s="8"/>
      <c r="J1438" s="8"/>
      <c r="K1438" s="62"/>
      <c r="L1438" s="1"/>
    </row>
    <row r="1439" ht="15.6" spans="1:12">
      <c r="A1439" s="6"/>
      <c r="B1439" s="6"/>
      <c r="C1439" s="3"/>
      <c r="D1439" s="2"/>
      <c r="E1439" s="63"/>
      <c r="F1439" s="64"/>
      <c r="G1439" s="64"/>
      <c r="H1439" s="64"/>
      <c r="I1439" s="8"/>
      <c r="J1439" s="8"/>
      <c r="K1439" s="62"/>
      <c r="L1439" s="1"/>
    </row>
    <row r="1440" ht="15.6" spans="1:12">
      <c r="A1440" s="6"/>
      <c r="B1440" s="6"/>
      <c r="C1440" s="3"/>
      <c r="D1440" s="2"/>
      <c r="E1440" s="63"/>
      <c r="F1440" s="64"/>
      <c r="G1440" s="64"/>
      <c r="H1440" s="64"/>
      <c r="I1440" s="8"/>
      <c r="J1440" s="8"/>
      <c r="K1440" s="62"/>
      <c r="L1440" s="1"/>
    </row>
    <row r="1441" ht="15.6" spans="1:12">
      <c r="A1441" s="6"/>
      <c r="B1441" s="6"/>
      <c r="C1441" s="3"/>
      <c r="D1441" s="2"/>
      <c r="E1441" s="63"/>
      <c r="F1441" s="64"/>
      <c r="G1441" s="64"/>
      <c r="H1441" s="64"/>
      <c r="I1441" s="8"/>
      <c r="J1441" s="8"/>
      <c r="K1441" s="62"/>
      <c r="L1441" s="1"/>
    </row>
    <row r="1442" ht="15.6" spans="1:12">
      <c r="A1442" s="6"/>
      <c r="B1442" s="6"/>
      <c r="C1442" s="3"/>
      <c r="D1442" s="2"/>
      <c r="E1442" s="63"/>
      <c r="F1442" s="64"/>
      <c r="G1442" s="64"/>
      <c r="H1442" s="64"/>
      <c r="I1442" s="8"/>
      <c r="J1442" s="8"/>
      <c r="K1442" s="62"/>
      <c r="L1442" s="1"/>
    </row>
    <row r="1443" ht="15.6" spans="1:12">
      <c r="A1443" s="6"/>
      <c r="B1443" s="6"/>
      <c r="C1443" s="3"/>
      <c r="D1443" s="2"/>
      <c r="E1443" s="63"/>
      <c r="F1443" s="64"/>
      <c r="G1443" s="64"/>
      <c r="H1443" s="64"/>
      <c r="I1443" s="8"/>
      <c r="J1443" s="8"/>
      <c r="K1443" s="62"/>
      <c r="L1443" s="1"/>
    </row>
    <row r="1444" ht="15.6" spans="1:12">
      <c r="A1444" s="6"/>
      <c r="B1444" s="6"/>
      <c r="C1444" s="3"/>
      <c r="D1444" s="2"/>
      <c r="E1444" s="63"/>
      <c r="F1444" s="64"/>
      <c r="G1444" s="64"/>
      <c r="H1444" s="64"/>
      <c r="I1444" s="8"/>
      <c r="J1444" s="8"/>
      <c r="K1444" s="62"/>
      <c r="L1444" s="1"/>
    </row>
    <row r="1445" ht="15.6" spans="1:12">
      <c r="A1445" s="6"/>
      <c r="B1445" s="6"/>
      <c r="C1445" s="3"/>
      <c r="D1445" s="2"/>
      <c r="E1445" s="63"/>
      <c r="F1445" s="64"/>
      <c r="G1445" s="64"/>
      <c r="H1445" s="64"/>
      <c r="I1445" s="8"/>
      <c r="J1445" s="8"/>
      <c r="K1445" s="62"/>
      <c r="L1445" s="1"/>
    </row>
    <row r="1446" ht="15.6" spans="1:12">
      <c r="A1446" s="6"/>
      <c r="B1446" s="6"/>
      <c r="C1446" s="3"/>
      <c r="D1446" s="2"/>
      <c r="E1446" s="63"/>
      <c r="F1446" s="64"/>
      <c r="G1446" s="64"/>
      <c r="H1446" s="64"/>
      <c r="I1446" s="8"/>
      <c r="J1446" s="8"/>
      <c r="K1446" s="62"/>
      <c r="L1446" s="1"/>
    </row>
    <row r="1447" ht="15.6" spans="1:12">
      <c r="A1447" s="6"/>
      <c r="B1447" s="6"/>
      <c r="C1447" s="3"/>
      <c r="D1447" s="2"/>
      <c r="E1447" s="63"/>
      <c r="F1447" s="64"/>
      <c r="G1447" s="64"/>
      <c r="H1447" s="64"/>
      <c r="I1447" s="8"/>
      <c r="J1447" s="8"/>
      <c r="K1447" s="62"/>
      <c r="L1447" s="1"/>
    </row>
    <row r="1448" ht="15.6" spans="1:12">
      <c r="A1448" s="6"/>
      <c r="B1448" s="6"/>
      <c r="C1448" s="3"/>
      <c r="D1448" s="2"/>
      <c r="E1448" s="63"/>
      <c r="F1448" s="64"/>
      <c r="G1448" s="64"/>
      <c r="H1448" s="64"/>
      <c r="I1448" s="8"/>
      <c r="J1448" s="8"/>
      <c r="K1448" s="62"/>
      <c r="L1448" s="1"/>
    </row>
    <row r="1449" ht="15.6" spans="1:12">
      <c r="A1449" s="6"/>
      <c r="B1449" s="6"/>
      <c r="C1449" s="3"/>
      <c r="D1449" s="2"/>
      <c r="E1449" s="63"/>
      <c r="F1449" s="64"/>
      <c r="G1449" s="64"/>
      <c r="H1449" s="64"/>
      <c r="I1449" s="8"/>
      <c r="J1449" s="8"/>
      <c r="K1449" s="62"/>
      <c r="L1449" s="1"/>
    </row>
    <row r="1450" ht="15.6" spans="1:12">
      <c r="A1450" s="6"/>
      <c r="B1450" s="6"/>
      <c r="C1450" s="3"/>
      <c r="D1450" s="2"/>
      <c r="E1450" s="63"/>
      <c r="F1450" s="64"/>
      <c r="G1450" s="64"/>
      <c r="H1450" s="64"/>
      <c r="I1450" s="8"/>
      <c r="J1450" s="8"/>
      <c r="K1450" s="62"/>
      <c r="L1450" s="1"/>
    </row>
    <row r="1451" ht="15.6" spans="1:12">
      <c r="A1451" s="6"/>
      <c r="B1451" s="6"/>
      <c r="C1451" s="3"/>
      <c r="D1451" s="2"/>
      <c r="E1451" s="63"/>
      <c r="F1451" s="64"/>
      <c r="G1451" s="64"/>
      <c r="H1451" s="64"/>
      <c r="I1451" s="8"/>
      <c r="J1451" s="8"/>
      <c r="K1451" s="62"/>
      <c r="L1451" s="1"/>
    </row>
    <row r="1452" ht="15.6" spans="1:12">
      <c r="A1452" s="6"/>
      <c r="B1452" s="6"/>
      <c r="C1452" s="3"/>
      <c r="D1452" s="2"/>
      <c r="E1452" s="63"/>
      <c r="F1452" s="64"/>
      <c r="G1452" s="64"/>
      <c r="H1452" s="64"/>
      <c r="I1452" s="8"/>
      <c r="J1452" s="8"/>
      <c r="K1452" s="62"/>
      <c r="L1452" s="1"/>
    </row>
    <row r="1453" ht="15.6" spans="1:12">
      <c r="A1453" s="6"/>
      <c r="B1453" s="6"/>
      <c r="C1453" s="3"/>
      <c r="D1453" s="2"/>
      <c r="E1453" s="63"/>
      <c r="F1453" s="64"/>
      <c r="G1453" s="64"/>
      <c r="H1453" s="64"/>
      <c r="I1453" s="8"/>
      <c r="J1453" s="8"/>
      <c r="K1453" s="62"/>
      <c r="L1453" s="1"/>
    </row>
    <row r="1454" ht="15.6" spans="1:12">
      <c r="A1454" s="6"/>
      <c r="B1454" s="6"/>
      <c r="C1454" s="3"/>
      <c r="D1454" s="2"/>
      <c r="E1454" s="63"/>
      <c r="F1454" s="64"/>
      <c r="G1454" s="64"/>
      <c r="H1454" s="64"/>
      <c r="I1454" s="8"/>
      <c r="J1454" s="8"/>
      <c r="K1454" s="62"/>
      <c r="L1454" s="1"/>
    </row>
    <row r="1455" ht="15.6" spans="1:12">
      <c r="A1455" s="6"/>
      <c r="B1455" s="6"/>
      <c r="C1455" s="3"/>
      <c r="D1455" s="2"/>
      <c r="E1455" s="63"/>
      <c r="F1455" s="64"/>
      <c r="G1455" s="64"/>
      <c r="H1455" s="64"/>
      <c r="I1455" s="8"/>
      <c r="J1455" s="8"/>
      <c r="K1455" s="62"/>
      <c r="L1455" s="1"/>
    </row>
    <row r="1456" ht="15.6" spans="1:12">
      <c r="A1456" s="6"/>
      <c r="B1456" s="6"/>
      <c r="C1456" s="3"/>
      <c r="D1456" s="2"/>
      <c r="E1456" s="63"/>
      <c r="F1456" s="64"/>
      <c r="G1456" s="64"/>
      <c r="H1456" s="64"/>
      <c r="I1456" s="8"/>
      <c r="J1456" s="8"/>
      <c r="K1456" s="62"/>
      <c r="L1456" s="1"/>
    </row>
    <row r="1457" ht="15.6" spans="1:12">
      <c r="A1457" s="6"/>
      <c r="B1457" s="6"/>
      <c r="C1457" s="3"/>
      <c r="D1457" s="2"/>
      <c r="E1457" s="63"/>
      <c r="F1457" s="64"/>
      <c r="G1457" s="64"/>
      <c r="H1457" s="64"/>
      <c r="I1457" s="8"/>
      <c r="J1457" s="8"/>
      <c r="K1457" s="62"/>
      <c r="L1457" s="1"/>
    </row>
    <row r="1458" ht="15.6" spans="1:12">
      <c r="A1458" s="6"/>
      <c r="B1458" s="6"/>
      <c r="C1458" s="3"/>
      <c r="D1458" s="2"/>
      <c r="E1458" s="63"/>
      <c r="F1458" s="64"/>
      <c r="G1458" s="64"/>
      <c r="H1458" s="64"/>
      <c r="I1458" s="8"/>
      <c r="J1458" s="8"/>
      <c r="K1458" s="62"/>
      <c r="L1458" s="1"/>
    </row>
    <row r="1459" ht="15.6" spans="1:12">
      <c r="A1459" s="6"/>
      <c r="B1459" s="6"/>
      <c r="C1459" s="3"/>
      <c r="D1459" s="2"/>
      <c r="E1459" s="63"/>
      <c r="F1459" s="64"/>
      <c r="G1459" s="64"/>
      <c r="H1459" s="64"/>
      <c r="I1459" s="8"/>
      <c r="J1459" s="8"/>
      <c r="K1459" s="62"/>
      <c r="L1459" s="1"/>
    </row>
    <row r="1460" ht="15.6" spans="1:12">
      <c r="A1460" s="6"/>
      <c r="B1460" s="6"/>
      <c r="C1460" s="3"/>
      <c r="D1460" s="2"/>
      <c r="E1460" s="63"/>
      <c r="F1460" s="64"/>
      <c r="G1460" s="64"/>
      <c r="H1460" s="64"/>
      <c r="I1460" s="8"/>
      <c r="J1460" s="8"/>
      <c r="K1460" s="62"/>
      <c r="L1460" s="1"/>
    </row>
    <row r="1461" ht="15.6" spans="1:12">
      <c r="A1461" s="6"/>
      <c r="B1461" s="6"/>
      <c r="C1461" s="3"/>
      <c r="D1461" s="2"/>
      <c r="E1461" s="63"/>
      <c r="F1461" s="64"/>
      <c r="G1461" s="64"/>
      <c r="H1461" s="64"/>
      <c r="I1461" s="8"/>
      <c r="J1461" s="8"/>
      <c r="K1461" s="62"/>
      <c r="L1461" s="1"/>
    </row>
    <row r="1462" ht="15.6" spans="1:12">
      <c r="A1462" s="6"/>
      <c r="B1462" s="6"/>
      <c r="C1462" s="3"/>
      <c r="D1462" s="2"/>
      <c r="E1462" s="63"/>
      <c r="F1462" s="64"/>
      <c r="G1462" s="64"/>
      <c r="H1462" s="64"/>
      <c r="I1462" s="8"/>
      <c r="J1462" s="8"/>
      <c r="K1462" s="62"/>
      <c r="L1462" s="1"/>
    </row>
    <row r="1463" ht="15.6" spans="1:12">
      <c r="A1463" s="6"/>
      <c r="B1463" s="6"/>
      <c r="C1463" s="3"/>
      <c r="D1463" s="2"/>
      <c r="E1463" s="63"/>
      <c r="F1463" s="64"/>
      <c r="G1463" s="64"/>
      <c r="H1463" s="64"/>
      <c r="I1463" s="8"/>
      <c r="J1463" s="8"/>
      <c r="K1463" s="62"/>
      <c r="L1463" s="1"/>
    </row>
    <row r="1464" ht="15.6" spans="1:12">
      <c r="A1464" s="6"/>
      <c r="B1464" s="6"/>
      <c r="C1464" s="3"/>
      <c r="D1464" s="2"/>
      <c r="E1464" s="63"/>
      <c r="F1464" s="64"/>
      <c r="G1464" s="64"/>
      <c r="H1464" s="64"/>
      <c r="I1464" s="8"/>
      <c r="J1464" s="8"/>
      <c r="K1464" s="62"/>
      <c r="L1464" s="1"/>
    </row>
    <row r="1465" ht="15.6" spans="1:12">
      <c r="A1465" s="6"/>
      <c r="B1465" s="6"/>
      <c r="C1465" s="3"/>
      <c r="D1465" s="2"/>
      <c r="E1465" s="63"/>
      <c r="F1465" s="64"/>
      <c r="G1465" s="64"/>
      <c r="H1465" s="64"/>
      <c r="I1465" s="8"/>
      <c r="J1465" s="8"/>
      <c r="K1465" s="62"/>
      <c r="L1465" s="1"/>
    </row>
    <row r="1466" ht="15.6" spans="1:12">
      <c r="A1466" s="6"/>
      <c r="B1466" s="6"/>
      <c r="C1466" s="3"/>
      <c r="D1466" s="2"/>
      <c r="E1466" s="63"/>
      <c r="F1466" s="64"/>
      <c r="G1466" s="64"/>
      <c r="H1466" s="64"/>
      <c r="I1466" s="8"/>
      <c r="J1466" s="8"/>
      <c r="K1466" s="62"/>
      <c r="L1466" s="1"/>
    </row>
    <row r="1467" ht="15.6" spans="1:12">
      <c r="A1467" s="6"/>
      <c r="B1467" s="6"/>
      <c r="C1467" s="3"/>
      <c r="D1467" s="2"/>
      <c r="E1467" s="63"/>
      <c r="F1467" s="64"/>
      <c r="G1467" s="64"/>
      <c r="H1467" s="64"/>
      <c r="I1467" s="8"/>
      <c r="J1467" s="8"/>
      <c r="K1467" s="62"/>
      <c r="L1467" s="1"/>
    </row>
    <row r="1468" ht="15.6" spans="1:12">
      <c r="A1468" s="6"/>
      <c r="B1468" s="6"/>
      <c r="C1468" s="3"/>
      <c r="D1468" s="2"/>
      <c r="E1468" s="63"/>
      <c r="F1468" s="64"/>
      <c r="G1468" s="64"/>
      <c r="H1468" s="64"/>
      <c r="I1468" s="8"/>
      <c r="J1468" s="8"/>
      <c r="K1468" s="62"/>
      <c r="L1468" s="1"/>
    </row>
    <row r="1469" ht="15.6" spans="1:12">
      <c r="A1469" s="6"/>
      <c r="B1469" s="6"/>
      <c r="C1469" s="3"/>
      <c r="D1469" s="2"/>
      <c r="E1469" s="63"/>
      <c r="F1469" s="64"/>
      <c r="G1469" s="64"/>
      <c r="H1469" s="64"/>
      <c r="I1469" s="8"/>
      <c r="J1469" s="8"/>
      <c r="K1469" s="62"/>
      <c r="L1469" s="1"/>
    </row>
    <row r="1470" ht="15.6" spans="1:12">
      <c r="A1470" s="6"/>
      <c r="B1470" s="6"/>
      <c r="C1470" s="3"/>
      <c r="D1470" s="2"/>
      <c r="E1470" s="63"/>
      <c r="F1470" s="64"/>
      <c r="G1470" s="64"/>
      <c r="H1470" s="64"/>
      <c r="I1470" s="8"/>
      <c r="J1470" s="8"/>
      <c r="K1470" s="62"/>
      <c r="L1470" s="1"/>
    </row>
    <row r="1471" ht="15.6" spans="1:12">
      <c r="A1471" s="6"/>
      <c r="B1471" s="6"/>
      <c r="C1471" s="3"/>
      <c r="D1471" s="2"/>
      <c r="E1471" s="63"/>
      <c r="F1471" s="64"/>
      <c r="G1471" s="64"/>
      <c r="H1471" s="64"/>
      <c r="I1471" s="8"/>
      <c r="J1471" s="8"/>
      <c r="K1471" s="62"/>
      <c r="L1471" s="1"/>
    </row>
    <row r="1472" ht="15.6" spans="1:12">
      <c r="A1472" s="6"/>
      <c r="B1472" s="6"/>
      <c r="C1472" s="3"/>
      <c r="D1472" s="2"/>
      <c r="E1472" s="63"/>
      <c r="F1472" s="64"/>
      <c r="G1472" s="64"/>
      <c r="H1472" s="64"/>
      <c r="I1472" s="8"/>
      <c r="J1472" s="8"/>
      <c r="K1472" s="62"/>
      <c r="L1472" s="1"/>
    </row>
    <row r="1473" ht="15.6" spans="1:12">
      <c r="A1473" s="6"/>
      <c r="B1473" s="6"/>
      <c r="C1473" s="3"/>
      <c r="D1473" s="2"/>
      <c r="E1473" s="63"/>
      <c r="F1473" s="64"/>
      <c r="G1473" s="64"/>
      <c r="H1473" s="64"/>
      <c r="I1473" s="8"/>
      <c r="J1473" s="8"/>
      <c r="K1473" s="62"/>
      <c r="L1473" s="1"/>
    </row>
    <row r="1474" ht="15.6" spans="1:12">
      <c r="A1474" s="6"/>
      <c r="B1474" s="6"/>
      <c r="C1474" s="3"/>
      <c r="D1474" s="2"/>
      <c r="E1474" s="63"/>
      <c r="F1474" s="64"/>
      <c r="G1474" s="64"/>
      <c r="H1474" s="64"/>
      <c r="I1474" s="8"/>
      <c r="J1474" s="8"/>
      <c r="K1474" s="62"/>
      <c r="L1474" s="1"/>
    </row>
    <row r="1475" ht="15.6" spans="1:12">
      <c r="A1475" s="6"/>
      <c r="B1475" s="6"/>
      <c r="C1475" s="3"/>
      <c r="D1475" s="2"/>
      <c r="E1475" s="63"/>
      <c r="F1475" s="64"/>
      <c r="G1475" s="64"/>
      <c r="H1475" s="64"/>
      <c r="I1475" s="8"/>
      <c r="J1475" s="8"/>
      <c r="K1475" s="62"/>
      <c r="L1475" s="1"/>
    </row>
    <row r="1476" ht="15.6" spans="1:12">
      <c r="A1476" s="6"/>
      <c r="B1476" s="6"/>
      <c r="C1476" s="3"/>
      <c r="D1476" s="2"/>
      <c r="E1476" s="63"/>
      <c r="F1476" s="64"/>
      <c r="G1476" s="64"/>
      <c r="H1476" s="64"/>
      <c r="I1476" s="8"/>
      <c r="J1476" s="8"/>
      <c r="K1476" s="62"/>
      <c r="L1476" s="1"/>
    </row>
    <row r="1477" ht="15.6" spans="1:12">
      <c r="A1477" s="6"/>
      <c r="B1477" s="6"/>
      <c r="C1477" s="3"/>
      <c r="D1477" s="2"/>
      <c r="E1477" s="63"/>
      <c r="F1477" s="64"/>
      <c r="G1477" s="64"/>
      <c r="H1477" s="64"/>
      <c r="I1477" s="8"/>
      <c r="J1477" s="8"/>
      <c r="K1477" s="62"/>
      <c r="L1477" s="1"/>
    </row>
    <row r="1478" ht="15.6" spans="1:12">
      <c r="A1478" s="6"/>
      <c r="B1478" s="6"/>
      <c r="C1478" s="3"/>
      <c r="D1478" s="2"/>
      <c r="E1478" s="63"/>
      <c r="F1478" s="64"/>
      <c r="G1478" s="64"/>
      <c r="H1478" s="64"/>
      <c r="I1478" s="8"/>
      <c r="J1478" s="8"/>
      <c r="K1478" s="62"/>
      <c r="L1478" s="1"/>
    </row>
    <row r="1479" ht="15.6" spans="1:12">
      <c r="A1479" s="6"/>
      <c r="B1479" s="6"/>
      <c r="C1479" s="3"/>
      <c r="D1479" s="2"/>
      <c r="E1479" s="63"/>
      <c r="F1479" s="64"/>
      <c r="G1479" s="64"/>
      <c r="H1479" s="64"/>
      <c r="I1479" s="8"/>
      <c r="J1479" s="8"/>
      <c r="K1479" s="62"/>
      <c r="L1479" s="1"/>
    </row>
    <row r="1480" ht="15.6" spans="1:12">
      <c r="A1480" s="6"/>
      <c r="B1480" s="6"/>
      <c r="C1480" s="3"/>
      <c r="D1480" s="2"/>
      <c r="E1480" s="63"/>
      <c r="F1480" s="64"/>
      <c r="G1480" s="64"/>
      <c r="H1480" s="64"/>
      <c r="I1480" s="8"/>
      <c r="J1480" s="8"/>
      <c r="K1480" s="62"/>
      <c r="L1480" s="1"/>
    </row>
    <row r="1481" ht="15.6" spans="1:12">
      <c r="A1481" s="6"/>
      <c r="B1481" s="6"/>
      <c r="C1481" s="3"/>
      <c r="D1481" s="2"/>
      <c r="E1481" s="63"/>
      <c r="F1481" s="64"/>
      <c r="G1481" s="64"/>
      <c r="H1481" s="64"/>
      <c r="I1481" s="8"/>
      <c r="J1481" s="8"/>
      <c r="K1481" s="62"/>
      <c r="L1481" s="1"/>
    </row>
    <row r="1482" ht="15.6" spans="1:12">
      <c r="A1482" s="6"/>
      <c r="B1482" s="6"/>
      <c r="C1482" s="3"/>
      <c r="D1482" s="2"/>
      <c r="E1482" s="63"/>
      <c r="F1482" s="64"/>
      <c r="G1482" s="64"/>
      <c r="H1482" s="64"/>
      <c r="I1482" s="8"/>
      <c r="J1482" s="8"/>
      <c r="K1482" s="62"/>
      <c r="L1482" s="1"/>
    </row>
    <row r="1483" ht="15.6" spans="1:12">
      <c r="A1483" s="6"/>
      <c r="B1483" s="6"/>
      <c r="C1483" s="3"/>
      <c r="D1483" s="2"/>
      <c r="E1483" s="63"/>
      <c r="F1483" s="64"/>
      <c r="G1483" s="64"/>
      <c r="H1483" s="64"/>
      <c r="I1483" s="8"/>
      <c r="J1483" s="8"/>
      <c r="K1483" s="62"/>
      <c r="L1483" s="1"/>
    </row>
    <row r="1484" ht="15.6" spans="1:12">
      <c r="A1484" s="6"/>
      <c r="B1484" s="6"/>
      <c r="C1484" s="3"/>
      <c r="D1484" s="2"/>
      <c r="E1484" s="63"/>
      <c r="F1484" s="64"/>
      <c r="G1484" s="64"/>
      <c r="H1484" s="64"/>
      <c r="I1484" s="8"/>
      <c r="J1484" s="8"/>
      <c r="K1484" s="62"/>
      <c r="L1484" s="1"/>
    </row>
    <row r="1485" ht="15.6" spans="1:12">
      <c r="A1485" s="6"/>
      <c r="B1485" s="6"/>
      <c r="C1485" s="3"/>
      <c r="D1485" s="2"/>
      <c r="E1485" s="63"/>
      <c r="F1485" s="64"/>
      <c r="G1485" s="64"/>
      <c r="H1485" s="64"/>
      <c r="I1485" s="8"/>
      <c r="J1485" s="8"/>
      <c r="K1485" s="62"/>
      <c r="L1485" s="1"/>
    </row>
    <row r="1486" ht="15.6" spans="1:12">
      <c r="A1486" s="6"/>
      <c r="B1486" s="6"/>
      <c r="C1486" s="3"/>
      <c r="D1486" s="2"/>
      <c r="E1486" s="63"/>
      <c r="F1486" s="64"/>
      <c r="G1486" s="64"/>
      <c r="H1486" s="64"/>
      <c r="I1486" s="8"/>
      <c r="J1486" s="8"/>
      <c r="K1486" s="62"/>
      <c r="L1486" s="1"/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W200"/>
  <sheetViews>
    <sheetView topLeftCell="G1" workbookViewId="0">
      <selection activeCell="S11" sqref="S11"/>
    </sheetView>
  </sheetViews>
  <sheetFormatPr defaultColWidth="14" defaultRowHeight="15.2"/>
  <cols>
    <col min="2" max="3" width="40" customWidth="1"/>
    <col min="4" max="4" width="27" customWidth="1"/>
    <col min="5" max="7" width="40" customWidth="1"/>
    <col min="8" max="8" width="26" customWidth="1"/>
    <col min="9" max="9" width="16" customWidth="1"/>
    <col min="11" max="14" width="14" customWidth="1"/>
  </cols>
  <sheetData>
    <row r="1" spans="1:23">
      <c r="A1" s="1" t="s">
        <v>64</v>
      </c>
      <c r="B1" s="1" t="s">
        <v>65</v>
      </c>
      <c r="C1" s="1" t="s">
        <v>66</v>
      </c>
      <c r="D1" s="31" t="s">
        <v>67</v>
      </c>
      <c r="E1" s="31" t="s">
        <v>68</v>
      </c>
      <c r="F1" s="31" t="s">
        <v>69</v>
      </c>
      <c r="G1" s="31" t="s">
        <v>70</v>
      </c>
      <c r="H1" s="1" t="s">
        <v>71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76</v>
      </c>
      <c r="N1" s="1" t="s">
        <v>77</v>
      </c>
      <c r="O1" s="1" t="s">
        <v>78</v>
      </c>
      <c r="P1" s="1" t="s">
        <v>79</v>
      </c>
      <c r="Q1" s="1" t="s">
        <v>80</v>
      </c>
      <c r="S1" s="16" t="s">
        <v>72</v>
      </c>
      <c r="T1" s="16" t="s">
        <v>81</v>
      </c>
      <c r="V1" s="16" t="s">
        <v>82</v>
      </c>
      <c r="W1" s="16" t="s">
        <v>81</v>
      </c>
    </row>
    <row r="2" ht="51" customHeight="1" spans="1:23">
      <c r="A2" s="1" t="s">
        <v>57</v>
      </c>
      <c r="B2" s="1" t="s">
        <v>83</v>
      </c>
      <c r="C2" s="1" t="s">
        <v>84</v>
      </c>
      <c r="D2" s="31">
        <v>1</v>
      </c>
      <c r="E2" s="31" t="s">
        <v>85</v>
      </c>
      <c r="F2" s="32" t="s">
        <v>86</v>
      </c>
      <c r="G2" s="32" t="s">
        <v>87</v>
      </c>
      <c r="H2" s="31">
        <v>10</v>
      </c>
      <c r="I2" s="1" t="s">
        <v>88</v>
      </c>
      <c r="J2" s="1">
        <v>0.2</v>
      </c>
      <c r="K2" s="1">
        <v>0.23</v>
      </c>
      <c r="L2" s="1">
        <v>0.26</v>
      </c>
      <c r="M2" s="1">
        <v>0.29</v>
      </c>
      <c r="N2" s="1">
        <v>0.32</v>
      </c>
      <c r="O2" s="1"/>
      <c r="P2" s="1" t="s">
        <v>89</v>
      </c>
      <c r="Q2" s="1"/>
      <c r="S2" s="16" t="s">
        <v>90</v>
      </c>
      <c r="T2" s="1">
        <v>1</v>
      </c>
      <c r="V2" s="1" t="s">
        <v>91</v>
      </c>
      <c r="W2" s="1"/>
    </row>
    <row r="3" ht="56" spans="1:23">
      <c r="A3" s="1" t="s">
        <v>57</v>
      </c>
      <c r="B3" s="1" t="s">
        <v>92</v>
      </c>
      <c r="C3" s="1" t="s">
        <v>93</v>
      </c>
      <c r="D3" s="31">
        <v>1</v>
      </c>
      <c r="E3" s="31" t="s">
        <v>94</v>
      </c>
      <c r="F3" s="32" t="s">
        <v>95</v>
      </c>
      <c r="G3" s="32"/>
      <c r="H3" s="31">
        <v>0</v>
      </c>
      <c r="I3" s="1" t="s">
        <v>88</v>
      </c>
      <c r="J3" s="1">
        <v>0.2</v>
      </c>
      <c r="K3" s="1">
        <v>0.23</v>
      </c>
      <c r="L3" s="1">
        <v>0.26</v>
      </c>
      <c r="M3" s="1">
        <v>0.29</v>
      </c>
      <c r="N3" s="1">
        <v>0.32</v>
      </c>
      <c r="O3" s="1"/>
      <c r="P3" s="1" t="s">
        <v>96</v>
      </c>
      <c r="Q3" s="1"/>
      <c r="S3" s="16" t="s">
        <v>97</v>
      </c>
      <c r="T3" s="1">
        <v>2</v>
      </c>
      <c r="V3" s="1" t="s">
        <v>98</v>
      </c>
      <c r="W3" s="37" t="s">
        <v>87</v>
      </c>
    </row>
    <row r="4" ht="56" spans="1:23">
      <c r="A4" s="1" t="s">
        <v>57</v>
      </c>
      <c r="B4" s="1" t="s">
        <v>99</v>
      </c>
      <c r="C4" s="1" t="s">
        <v>100</v>
      </c>
      <c r="D4" s="31">
        <v>1</v>
      </c>
      <c r="E4" s="31" t="s">
        <v>101</v>
      </c>
      <c r="F4" s="32" t="s">
        <v>102</v>
      </c>
      <c r="G4" s="32"/>
      <c r="H4" s="31">
        <v>0</v>
      </c>
      <c r="I4" s="1">
        <v>4</v>
      </c>
      <c r="J4" s="1">
        <v>0.06</v>
      </c>
      <c r="K4" s="1">
        <v>0.07</v>
      </c>
      <c r="L4" s="1">
        <v>0.08</v>
      </c>
      <c r="M4" s="1">
        <v>0.09</v>
      </c>
      <c r="N4" s="1">
        <v>0.1</v>
      </c>
      <c r="O4" s="1"/>
      <c r="P4" s="1"/>
      <c r="Q4" s="1"/>
      <c r="S4" s="16" t="s">
        <v>103</v>
      </c>
      <c r="T4" s="1">
        <v>3</v>
      </c>
      <c r="V4" s="1" t="s">
        <v>104</v>
      </c>
      <c r="W4" s="31" t="s">
        <v>105</v>
      </c>
    </row>
    <row r="5" ht="42" spans="1:23">
      <c r="A5" s="1" t="s">
        <v>59</v>
      </c>
      <c r="B5" s="1" t="s">
        <v>106</v>
      </c>
      <c r="C5" s="1" t="s">
        <v>107</v>
      </c>
      <c r="D5" s="31">
        <v>1</v>
      </c>
      <c r="E5" s="31" t="s">
        <v>108</v>
      </c>
      <c r="F5" s="32" t="s">
        <v>109</v>
      </c>
      <c r="G5" s="32" t="s">
        <v>105</v>
      </c>
      <c r="H5" s="31">
        <v>10</v>
      </c>
      <c r="I5" s="1" t="s">
        <v>88</v>
      </c>
      <c r="J5" s="1">
        <v>1</v>
      </c>
      <c r="K5" s="1">
        <v>1.2</v>
      </c>
      <c r="L5" s="1">
        <v>1.4</v>
      </c>
      <c r="M5" s="1">
        <v>1.6</v>
      </c>
      <c r="N5" s="1">
        <v>1.8</v>
      </c>
      <c r="O5"/>
      <c r="P5" s="1" t="s">
        <v>110</v>
      </c>
      <c r="Q5" s="1">
        <v>0.3</v>
      </c>
      <c r="S5" s="33" t="s">
        <v>111</v>
      </c>
      <c r="T5" s="1">
        <v>4</v>
      </c>
      <c r="V5" s="1" t="s">
        <v>112</v>
      </c>
      <c r="W5" s="1"/>
    </row>
    <row r="6" ht="42" spans="1:23">
      <c r="A6" s="1" t="s">
        <v>59</v>
      </c>
      <c r="B6" s="1" t="s">
        <v>113</v>
      </c>
      <c r="C6" s="1" t="s">
        <v>114</v>
      </c>
      <c r="D6" s="31">
        <v>1</v>
      </c>
      <c r="E6" s="31" t="s">
        <v>115</v>
      </c>
      <c r="F6" s="32" t="s">
        <v>116</v>
      </c>
      <c r="G6" s="32"/>
      <c r="H6" s="31">
        <v>0</v>
      </c>
      <c r="I6" s="1" t="s">
        <v>117</v>
      </c>
      <c r="J6" s="1">
        <v>0.01</v>
      </c>
      <c r="K6" s="1">
        <v>0.02</v>
      </c>
      <c r="L6" s="1">
        <v>0.03</v>
      </c>
      <c r="M6" s="1">
        <v>0.04</v>
      </c>
      <c r="N6" s="1">
        <v>0.05</v>
      </c>
      <c r="O6" s="1" t="s">
        <v>118</v>
      </c>
      <c r="P6" s="1"/>
      <c r="Q6" s="1">
        <v>0.5</v>
      </c>
      <c r="S6" s="14"/>
      <c r="T6" s="14"/>
      <c r="V6" s="1" t="s">
        <v>119</v>
      </c>
      <c r="W6" s="1"/>
    </row>
    <row r="7" ht="28" spans="1:23">
      <c r="A7" s="1" t="s">
        <v>59</v>
      </c>
      <c r="B7" s="1" t="s">
        <v>120</v>
      </c>
      <c r="C7" s="1" t="s">
        <v>121</v>
      </c>
      <c r="D7" s="31">
        <v>1</v>
      </c>
      <c r="E7" s="31" t="s">
        <v>122</v>
      </c>
      <c r="F7" s="32" t="s">
        <v>123</v>
      </c>
      <c r="G7" s="32" t="s">
        <v>124</v>
      </c>
      <c r="H7" s="31">
        <v>0</v>
      </c>
      <c r="I7" s="1" t="s">
        <v>117</v>
      </c>
      <c r="J7" s="1">
        <v>0.6</v>
      </c>
      <c r="K7" s="1">
        <v>0.65</v>
      </c>
      <c r="L7" s="1">
        <v>0.7</v>
      </c>
      <c r="M7" s="1">
        <v>0.75</v>
      </c>
      <c r="N7" s="1">
        <v>0.8</v>
      </c>
      <c r="O7" s="1" t="s">
        <v>125</v>
      </c>
      <c r="P7" s="1"/>
      <c r="Q7" s="1"/>
      <c r="S7" s="14"/>
      <c r="T7" s="14"/>
    </row>
    <row r="8" ht="56" spans="1:23">
      <c r="A8" s="1" t="s">
        <v>61</v>
      </c>
      <c r="B8" s="1" t="s">
        <v>126</v>
      </c>
      <c r="C8" s="1" t="s">
        <v>127</v>
      </c>
      <c r="D8" s="31">
        <v>1</v>
      </c>
      <c r="E8" s="31" t="s">
        <v>128</v>
      </c>
      <c r="F8" s="32" t="s">
        <v>129</v>
      </c>
      <c r="G8" s="32" t="s">
        <v>130</v>
      </c>
      <c r="H8" s="31">
        <v>10</v>
      </c>
      <c r="I8" s="1" t="s">
        <v>88</v>
      </c>
      <c r="J8" s="1">
        <v>400</v>
      </c>
      <c r="K8" s="1">
        <v>450</v>
      </c>
      <c r="L8" s="1">
        <v>500</v>
      </c>
      <c r="M8" s="1">
        <v>550</v>
      </c>
      <c r="N8" s="1">
        <v>600</v>
      </c>
      <c r="O8" s="1" t="s">
        <v>131</v>
      </c>
      <c r="P8" s="1"/>
      <c r="Q8" s="1">
        <v>0.4</v>
      </c>
      <c r="S8" s="14"/>
      <c r="T8" s="14"/>
    </row>
    <row r="9" ht="28" spans="1:23">
      <c r="A9" s="1" t="s">
        <v>61</v>
      </c>
      <c r="B9" s="1" t="s">
        <v>132</v>
      </c>
      <c r="C9" s="1" t="s">
        <v>133</v>
      </c>
      <c r="D9" s="31">
        <v>1</v>
      </c>
      <c r="E9" s="31" t="s">
        <v>134</v>
      </c>
      <c r="F9" s="32" t="s">
        <v>135</v>
      </c>
      <c r="G9" s="32"/>
      <c r="H9" s="31">
        <v>0</v>
      </c>
      <c r="I9" s="34">
        <v>3</v>
      </c>
      <c r="J9" s="34">
        <v>0.1</v>
      </c>
      <c r="K9" s="1">
        <v>0.13</v>
      </c>
      <c r="L9" s="34">
        <v>0.16</v>
      </c>
      <c r="M9" s="1">
        <v>0.19</v>
      </c>
      <c r="N9" s="34">
        <v>0.22</v>
      </c>
      <c r="O9" s="1"/>
      <c r="P9" s="1"/>
      <c r="Q9" s="1"/>
      <c r="S9" s="14"/>
      <c r="T9" s="14"/>
    </row>
    <row r="10" ht="28" spans="1:23">
      <c r="A10" s="1" t="s">
        <v>61</v>
      </c>
      <c r="B10" s="35" t="s">
        <v>136</v>
      </c>
      <c r="C10" s="35" t="s">
        <v>137</v>
      </c>
      <c r="D10" s="31">
        <v>1</v>
      </c>
      <c r="E10" s="31" t="s">
        <v>138</v>
      </c>
      <c r="F10" s="32" t="s">
        <v>139</v>
      </c>
      <c r="G10" s="32"/>
      <c r="H10" s="31">
        <v>0</v>
      </c>
      <c r="I10" s="1">
        <v>4</v>
      </c>
      <c r="J10" s="1">
        <v>0.01</v>
      </c>
      <c r="K10" s="1">
        <v>0.02</v>
      </c>
      <c r="L10" s="1">
        <v>0.03</v>
      </c>
      <c r="M10" s="1">
        <v>0.04</v>
      </c>
      <c r="N10" s="1">
        <v>0.05</v>
      </c>
      <c r="O10" s="1"/>
      <c r="P10" s="1"/>
      <c r="Q10" s="1"/>
      <c r="S10" s="14"/>
      <c r="T10" s="14"/>
    </row>
    <row r="11" ht="42" spans="1:23">
      <c r="A11" s="38" t="s">
        <v>62</v>
      </c>
      <c r="B11" s="38" t="s">
        <v>140</v>
      </c>
      <c r="C11" s="38" t="s">
        <v>141</v>
      </c>
      <c r="D11" s="39">
        <v>1</v>
      </c>
      <c r="E11" s="39" t="s">
        <v>142</v>
      </c>
      <c r="F11" s="40" t="s">
        <v>143</v>
      </c>
      <c r="G11" s="32"/>
      <c r="H11" s="31">
        <v>10</v>
      </c>
      <c r="I11" s="1" t="s">
        <v>144</v>
      </c>
      <c r="J11" s="1">
        <v>300</v>
      </c>
      <c r="K11" s="1">
        <v>350</v>
      </c>
      <c r="L11" s="1">
        <v>400</v>
      </c>
      <c r="M11" s="1">
        <v>450</v>
      </c>
      <c r="N11" s="1">
        <v>500</v>
      </c>
      <c r="O11" s="1" t="s">
        <v>96</v>
      </c>
      <c r="P11" s="1"/>
      <c r="Q11" s="1"/>
      <c r="S11" s="14"/>
      <c r="T11" s="14"/>
    </row>
    <row r="12" ht="28" spans="1:23">
      <c r="A12" s="1" t="s">
        <v>62</v>
      </c>
      <c r="B12" s="41" t="s">
        <v>145</v>
      </c>
      <c r="C12" s="41" t="s">
        <v>146</v>
      </c>
      <c r="D12" s="31">
        <v>1</v>
      </c>
      <c r="E12" s="31" t="s">
        <v>147</v>
      </c>
      <c r="F12" s="42" t="s">
        <v>148</v>
      </c>
      <c r="G12" s="43"/>
      <c r="H12" s="31">
        <v>0</v>
      </c>
      <c r="I12" s="1">
        <v>2</v>
      </c>
      <c r="J12" s="1">
        <v>0.2</v>
      </c>
      <c r="K12" s="1">
        <v>0.22</v>
      </c>
      <c r="L12" s="1">
        <v>0.24</v>
      </c>
      <c r="M12" s="1">
        <v>0.26</v>
      </c>
      <c r="N12" s="1">
        <v>0.28</v>
      </c>
      <c r="O12" s="1"/>
      <c r="P12" s="1"/>
      <c r="Q12" s="1">
        <v>0.3</v>
      </c>
      <c r="S12" s="14"/>
      <c r="T12" s="14"/>
    </row>
    <row r="13" spans="1:23">
      <c r="A13" s="1" t="s">
        <v>62</v>
      </c>
      <c r="B13" s="1" t="s">
        <v>149</v>
      </c>
      <c r="C13" s="1" t="s">
        <v>150</v>
      </c>
      <c r="D13" s="31">
        <v>1</v>
      </c>
      <c r="E13" s="31" t="s">
        <v>151</v>
      </c>
      <c r="F13" s="42" t="s">
        <v>152</v>
      </c>
      <c r="G13" s="43"/>
      <c r="H13" s="31">
        <v>0</v>
      </c>
      <c r="I13" s="1">
        <v>4</v>
      </c>
      <c r="J13" s="1"/>
      <c r="K13" s="1"/>
      <c r="L13" s="1"/>
      <c r="M13" s="1"/>
      <c r="N13" s="1"/>
      <c r="O13" s="1" t="s">
        <v>153</v>
      </c>
      <c r="P13" s="1"/>
      <c r="Q13" s="1"/>
    </row>
    <row r="14" ht="28" spans="1:23">
      <c r="A14" s="1" t="s">
        <v>63</v>
      </c>
      <c r="B14" s="1" t="s">
        <v>154</v>
      </c>
      <c r="C14" s="1" t="s">
        <v>155</v>
      </c>
      <c r="D14" s="31">
        <v>1</v>
      </c>
      <c r="E14" s="31" t="s">
        <v>156</v>
      </c>
      <c r="F14" s="42" t="s">
        <v>157</v>
      </c>
      <c r="G14" s="43"/>
      <c r="H14" s="31">
        <v>10</v>
      </c>
      <c r="I14" s="1">
        <v>3</v>
      </c>
      <c r="J14" s="1">
        <v>200</v>
      </c>
      <c r="K14" s="1">
        <v>300</v>
      </c>
      <c r="L14" s="1">
        <v>400</v>
      </c>
      <c r="M14" s="1">
        <v>500</v>
      </c>
      <c r="N14" s="1">
        <v>600</v>
      </c>
      <c r="O14" s="1"/>
      <c r="P14" s="1"/>
      <c r="Q14" s="1">
        <v>4</v>
      </c>
    </row>
    <row r="15" spans="1:23">
      <c r="A15" s="1" t="s">
        <v>63</v>
      </c>
      <c r="B15" s="1" t="s">
        <v>158</v>
      </c>
      <c r="C15" s="1" t="s">
        <v>159</v>
      </c>
      <c r="D15" s="31">
        <v>1</v>
      </c>
      <c r="E15" s="31" t="s">
        <v>160</v>
      </c>
      <c r="F15" s="42" t="s">
        <v>161</v>
      </c>
      <c r="G15" s="43"/>
      <c r="H15" s="31">
        <v>0</v>
      </c>
      <c r="I15" s="1">
        <v>3</v>
      </c>
      <c r="J15" s="1">
        <v>200</v>
      </c>
      <c r="K15" s="1">
        <v>250</v>
      </c>
      <c r="L15" s="1">
        <v>300</v>
      </c>
      <c r="M15" s="1">
        <v>350</v>
      </c>
      <c r="N15" s="1">
        <v>400</v>
      </c>
      <c r="O15" s="1" t="s">
        <v>162</v>
      </c>
      <c r="P15" s="1"/>
      <c r="Q15" s="1"/>
    </row>
    <row r="16" spans="1:23">
      <c r="A16" s="1" t="s">
        <v>63</v>
      </c>
      <c r="B16" s="1" t="s">
        <v>163</v>
      </c>
      <c r="C16" s="1" t="s">
        <v>164</v>
      </c>
      <c r="D16" s="31">
        <v>1</v>
      </c>
      <c r="E16" s="31" t="s">
        <v>165</v>
      </c>
      <c r="F16" s="42" t="s">
        <v>166</v>
      </c>
      <c r="G16" s="44"/>
      <c r="H16" s="39">
        <v>0</v>
      </c>
      <c r="I16" s="38">
        <v>3</v>
      </c>
      <c r="J16" s="38">
        <v>0.05</v>
      </c>
      <c r="K16" s="38">
        <v>0.07</v>
      </c>
      <c r="L16" s="38">
        <v>0.09</v>
      </c>
      <c r="M16" s="38">
        <v>0.11</v>
      </c>
      <c r="N16" s="38">
        <v>0.13</v>
      </c>
      <c r="O16" s="38"/>
      <c r="P16" s="38"/>
      <c r="Q16" s="38"/>
    </row>
    <row r="17" spans="1:17">
      <c r="A17" s="1" t="s">
        <v>167</v>
      </c>
      <c r="B17" s="1" t="s">
        <v>168</v>
      </c>
      <c r="C17" s="1" t="s">
        <v>169</v>
      </c>
      <c r="D17" s="31">
        <v>5</v>
      </c>
      <c r="E17" s="31" t="s">
        <v>170</v>
      </c>
      <c r="F17" s="39" t="s">
        <v>171</v>
      </c>
      <c r="G17" s="45"/>
      <c r="H17" s="38">
        <v>20</v>
      </c>
      <c r="I17" s="38"/>
      <c r="J17" s="38"/>
      <c r="K17" s="38"/>
      <c r="L17" s="38"/>
      <c r="M17" s="38"/>
      <c r="N17" s="38"/>
      <c r="O17" s="38"/>
      <c r="P17" s="38"/>
      <c r="Q17" s="38"/>
    </row>
    <row r="18" ht="28" spans="1:17">
      <c r="A18" s="1" t="s">
        <v>172</v>
      </c>
      <c r="B18" s="1" t="s">
        <v>173</v>
      </c>
      <c r="C18" s="1" t="s">
        <v>174</v>
      </c>
      <c r="D18" s="31">
        <v>10</v>
      </c>
      <c r="E18" s="46" t="s">
        <v>175</v>
      </c>
      <c r="F18" s="31" t="s">
        <v>176</v>
      </c>
      <c r="G18" s="31"/>
      <c r="H18" s="1" t="s">
        <v>177</v>
      </c>
      <c r="I18" s="1"/>
      <c r="J18" s="1"/>
      <c r="K18" s="1"/>
      <c r="L18" s="1"/>
      <c r="M18" s="1"/>
      <c r="N18" s="1"/>
      <c r="O18" s="1"/>
      <c r="P18" s="1"/>
      <c r="Q18" s="1"/>
    </row>
    <row r="19" spans="1:17">
      <c r="A19" s="1" t="s">
        <v>172</v>
      </c>
      <c r="B19" s="1" t="s">
        <v>178</v>
      </c>
      <c r="C19" s="1" t="s">
        <v>179</v>
      </c>
      <c r="D19" s="31">
        <v>15</v>
      </c>
      <c r="E19" s="46" t="s">
        <v>180</v>
      </c>
      <c r="F19" s="31" t="s">
        <v>181</v>
      </c>
      <c r="G19" s="47"/>
      <c r="H19" s="8">
        <v>0</v>
      </c>
      <c r="I19" s="8"/>
      <c r="J19" s="8"/>
      <c r="K19" s="8"/>
      <c r="L19" s="8"/>
      <c r="M19" s="8"/>
      <c r="N19" s="8"/>
      <c r="O19" s="8"/>
      <c r="P19" s="8"/>
      <c r="Q19" s="8"/>
    </row>
    <row r="20" spans="1:17">
      <c r="A20" s="1" t="s">
        <v>172</v>
      </c>
      <c r="B20" s="1" t="s">
        <v>182</v>
      </c>
      <c r="C20" s="1" t="s">
        <v>183</v>
      </c>
      <c r="D20" s="31">
        <v>20</v>
      </c>
      <c r="E20" s="46" t="s">
        <v>184</v>
      </c>
      <c r="F20" s="31" t="s">
        <v>185</v>
      </c>
      <c r="G20" s="47"/>
      <c r="H20" s="8">
        <v>0</v>
      </c>
      <c r="I20" s="8"/>
      <c r="J20" s="8"/>
      <c r="K20" s="8"/>
      <c r="L20" s="8"/>
      <c r="M20" s="8"/>
      <c r="N20" s="8"/>
      <c r="O20" s="8"/>
      <c r="P20" s="8"/>
      <c r="Q20" s="8"/>
    </row>
    <row r="21" spans="1:17">
      <c r="D21" s="37"/>
      <c r="E21" s="37"/>
      <c r="F21" s="37"/>
      <c r="G21" s="37"/>
    </row>
    <row r="22" spans="1:17">
      <c r="D22" s="37"/>
      <c r="E22" s="37"/>
      <c r="F22" s="37"/>
      <c r="G22" s="37"/>
    </row>
    <row r="23" spans="1:17">
      <c r="D23" s="37"/>
      <c r="E23" s="37"/>
      <c r="F23" s="37"/>
      <c r="G23" s="37"/>
    </row>
    <row r="24" spans="1:17">
      <c r="D24" s="37"/>
      <c r="E24" s="37"/>
      <c r="F24" s="37"/>
      <c r="G24" s="37"/>
    </row>
    <row r="25" spans="1:17">
      <c r="D25" s="37"/>
      <c r="E25" s="37"/>
      <c r="F25" s="37"/>
      <c r="G25" s="37"/>
    </row>
    <row r="26" spans="1:17">
      <c r="D26" s="37"/>
      <c r="E26" s="37"/>
      <c r="F26" s="37"/>
      <c r="G26" s="37"/>
    </row>
    <row r="27" spans="1:17">
      <c r="D27" s="37"/>
      <c r="E27" s="37"/>
      <c r="F27" s="37"/>
      <c r="G27" s="37"/>
    </row>
    <row r="28" spans="1:17">
      <c r="D28" s="37"/>
      <c r="E28" s="37"/>
      <c r="F28" s="37"/>
      <c r="G28" s="37"/>
    </row>
    <row r="29" spans="1:17">
      <c r="D29" s="37"/>
      <c r="E29" s="37"/>
      <c r="F29" s="37"/>
      <c r="G29" s="37"/>
    </row>
    <row r="30" spans="1:17">
      <c r="D30" s="37"/>
      <c r="E30" s="37"/>
      <c r="F30" s="37"/>
      <c r="G30" s="37"/>
    </row>
    <row r="31" spans="1:17">
      <c r="D31" s="37"/>
      <c r="E31" s="37"/>
      <c r="F31" s="37"/>
      <c r="G31" s="37"/>
    </row>
    <row r="32" spans="1:17">
      <c r="D32" s="37"/>
      <c r="E32" s="37"/>
      <c r="F32" s="37"/>
      <c r="G32" s="37"/>
    </row>
    <row r="33" spans="4:7">
      <c r="D33" s="37"/>
      <c r="E33" s="37"/>
      <c r="F33" s="37"/>
      <c r="G33" s="37"/>
    </row>
    <row r="34" spans="4:7">
      <c r="D34" s="37"/>
      <c r="E34" s="37"/>
      <c r="F34" s="37"/>
      <c r="G34" s="37"/>
    </row>
    <row r="35" spans="4:7">
      <c r="D35" s="37"/>
      <c r="E35" s="37"/>
      <c r="F35" s="37"/>
      <c r="G35" s="37"/>
    </row>
    <row r="36" spans="4:7">
      <c r="D36" s="37"/>
      <c r="E36" s="37"/>
      <c r="F36" s="37"/>
      <c r="G36" s="37"/>
    </row>
    <row r="37" spans="4:7">
      <c r="D37" s="37"/>
      <c r="E37" s="37"/>
      <c r="F37" s="37"/>
      <c r="G37" s="37"/>
    </row>
    <row r="38" spans="4:7">
      <c r="D38" s="37"/>
      <c r="E38" s="37"/>
      <c r="F38" s="37"/>
      <c r="G38" s="37"/>
    </row>
    <row r="39" spans="4:7">
      <c r="D39" s="37"/>
      <c r="E39" s="37"/>
      <c r="F39" s="37"/>
      <c r="G39" s="37"/>
    </row>
    <row r="40" spans="4:7">
      <c r="D40" s="37"/>
      <c r="E40" s="37"/>
      <c r="F40" s="37"/>
      <c r="G40" s="37"/>
    </row>
    <row r="41" spans="4:7">
      <c r="D41" s="37"/>
      <c r="E41" s="37"/>
      <c r="F41" s="37"/>
      <c r="G41" s="37"/>
    </row>
    <row r="42" spans="4:7">
      <c r="D42" s="37"/>
      <c r="E42" s="37"/>
      <c r="F42" s="37"/>
      <c r="G42" s="37"/>
    </row>
    <row r="43" spans="4:7">
      <c r="D43" s="37"/>
      <c r="E43" s="37"/>
      <c r="F43" s="37"/>
      <c r="G43" s="37"/>
    </row>
    <row r="44" spans="4:7">
      <c r="D44" s="37"/>
      <c r="E44" s="37"/>
      <c r="F44" s="37"/>
      <c r="G44" s="37"/>
    </row>
    <row r="45" spans="4:7">
      <c r="D45" s="37"/>
      <c r="E45" s="37"/>
      <c r="F45" s="37"/>
      <c r="G45" s="37"/>
    </row>
    <row r="46" spans="4:7">
      <c r="D46" s="37"/>
      <c r="E46" s="37"/>
      <c r="F46" s="37"/>
      <c r="G46" s="37"/>
    </row>
    <row r="47" spans="4:7">
      <c r="D47" s="37"/>
      <c r="E47" s="37"/>
      <c r="F47" s="37"/>
      <c r="G47" s="37"/>
    </row>
    <row r="48" spans="4:7">
      <c r="D48" s="37"/>
      <c r="E48" s="37"/>
      <c r="F48" s="37"/>
      <c r="G48" s="37"/>
    </row>
    <row r="49" spans="4:7">
      <c r="D49" s="37"/>
      <c r="E49" s="37"/>
      <c r="F49" s="37"/>
      <c r="G49" s="37"/>
    </row>
    <row r="50" spans="4:7">
      <c r="D50" s="37"/>
      <c r="E50" s="37"/>
      <c r="F50" s="37"/>
      <c r="G50" s="37"/>
    </row>
    <row r="51" spans="4:7">
      <c r="D51" s="37"/>
      <c r="E51" s="37"/>
      <c r="F51" s="37"/>
      <c r="G51" s="37"/>
    </row>
    <row r="52" spans="4:7">
      <c r="D52" s="37"/>
      <c r="E52" s="37"/>
      <c r="F52" s="37"/>
      <c r="G52" s="37"/>
    </row>
    <row r="53" spans="4:7">
      <c r="D53" s="37"/>
      <c r="E53" s="37"/>
      <c r="F53" s="37"/>
      <c r="G53" s="37"/>
    </row>
    <row r="54" spans="4:7">
      <c r="D54" s="37"/>
      <c r="E54" s="37"/>
      <c r="F54" s="37"/>
      <c r="G54" s="37"/>
    </row>
    <row r="55" spans="4:7">
      <c r="D55" s="37"/>
      <c r="E55" s="37"/>
      <c r="F55" s="37"/>
      <c r="G55" s="37"/>
    </row>
    <row r="56" spans="4:7">
      <c r="D56" s="37"/>
      <c r="E56" s="37"/>
      <c r="F56" s="37"/>
      <c r="G56" s="37"/>
    </row>
    <row r="57" spans="4:7">
      <c r="D57" s="37"/>
      <c r="E57" s="37"/>
      <c r="F57" s="37"/>
      <c r="G57" s="37"/>
    </row>
    <row r="58" spans="4:7">
      <c r="D58" s="37"/>
      <c r="E58" s="37"/>
      <c r="F58" s="37"/>
      <c r="G58" s="37"/>
    </row>
    <row r="59" spans="4:7">
      <c r="D59" s="37"/>
      <c r="E59" s="37"/>
      <c r="F59" s="37"/>
      <c r="G59" s="37"/>
    </row>
    <row r="60" spans="4:7">
      <c r="D60" s="37"/>
      <c r="E60" s="37"/>
      <c r="F60" s="37"/>
      <c r="G60" s="37"/>
    </row>
    <row r="61" spans="4:7">
      <c r="D61" s="37"/>
      <c r="E61" s="37"/>
      <c r="F61" s="37"/>
      <c r="G61" s="37"/>
    </row>
    <row r="62" spans="4:7">
      <c r="D62" s="37"/>
      <c r="E62" s="37"/>
      <c r="F62" s="37"/>
      <c r="G62" s="37"/>
    </row>
    <row r="63" spans="4:7">
      <c r="D63" s="37"/>
      <c r="E63" s="37"/>
      <c r="F63" s="37"/>
      <c r="G63" s="37"/>
    </row>
    <row r="64" spans="4:7">
      <c r="D64" s="37"/>
      <c r="E64" s="37"/>
      <c r="F64" s="37"/>
      <c r="G64" s="37"/>
    </row>
    <row r="65" spans="4:7">
      <c r="D65" s="37"/>
      <c r="E65" s="37"/>
      <c r="F65" s="37"/>
      <c r="G65" s="37"/>
    </row>
    <row r="66" spans="4:7">
      <c r="D66" s="37"/>
      <c r="E66" s="37"/>
      <c r="F66" s="37"/>
      <c r="G66" s="37"/>
    </row>
    <row r="67" spans="4:7">
      <c r="D67" s="37"/>
      <c r="E67" s="37"/>
      <c r="F67" s="37"/>
      <c r="G67" s="37"/>
    </row>
    <row r="68" spans="4:7">
      <c r="D68" s="37"/>
      <c r="E68" s="37"/>
      <c r="F68" s="37"/>
      <c r="G68" s="37"/>
    </row>
    <row r="69" spans="4:7">
      <c r="D69" s="37"/>
      <c r="E69" s="37"/>
      <c r="F69" s="37"/>
      <c r="G69" s="37"/>
    </row>
    <row r="70" spans="4:7">
      <c r="D70" s="37"/>
      <c r="E70" s="37"/>
      <c r="F70" s="37"/>
      <c r="G70" s="37"/>
    </row>
    <row r="71" spans="4:7">
      <c r="D71" s="37"/>
      <c r="E71" s="37"/>
      <c r="F71" s="37"/>
      <c r="G71" s="37"/>
    </row>
    <row r="72" spans="4:7">
      <c r="D72" s="37"/>
      <c r="E72" s="37"/>
      <c r="F72" s="37"/>
      <c r="G72" s="37"/>
    </row>
    <row r="73" spans="4:7">
      <c r="D73" s="37"/>
      <c r="E73" s="37"/>
      <c r="F73" s="37"/>
      <c r="G73" s="37"/>
    </row>
    <row r="74" spans="4:7">
      <c r="D74" s="37"/>
      <c r="E74" s="37"/>
      <c r="F74" s="37"/>
      <c r="G74" s="37"/>
    </row>
    <row r="75" spans="4:7">
      <c r="D75" s="37"/>
      <c r="E75" s="37"/>
      <c r="F75" s="37"/>
      <c r="G75" s="37"/>
    </row>
    <row r="76" spans="4:7">
      <c r="D76" s="37"/>
      <c r="E76" s="37"/>
      <c r="F76" s="37"/>
      <c r="G76" s="37"/>
    </row>
    <row r="77" spans="4:7">
      <c r="D77" s="37"/>
      <c r="E77" s="37"/>
      <c r="F77" s="37"/>
      <c r="G77" s="37"/>
    </row>
    <row r="78" spans="4:7">
      <c r="D78" s="37"/>
      <c r="E78" s="37"/>
      <c r="F78" s="37"/>
      <c r="G78" s="37"/>
    </row>
    <row r="79" spans="4:7">
      <c r="D79" s="37"/>
      <c r="E79" s="37"/>
      <c r="F79" s="37"/>
      <c r="G79" s="37"/>
    </row>
    <row r="80" spans="4:7">
      <c r="D80" s="37"/>
      <c r="E80" s="37"/>
      <c r="F80" s="37"/>
      <c r="G80" s="37"/>
    </row>
    <row r="81" spans="4:7">
      <c r="D81" s="37"/>
      <c r="E81" s="37"/>
      <c r="F81" s="37"/>
      <c r="G81" s="37"/>
    </row>
    <row r="82" spans="4:7">
      <c r="D82" s="37"/>
      <c r="E82" s="37"/>
      <c r="F82" s="37"/>
      <c r="G82" s="37"/>
    </row>
    <row r="83" spans="4:7">
      <c r="D83" s="37"/>
      <c r="E83" s="37"/>
      <c r="F83" s="37"/>
      <c r="G83" s="37"/>
    </row>
    <row r="84" spans="4:7">
      <c r="D84" s="37"/>
      <c r="E84" s="37"/>
      <c r="F84" s="37"/>
      <c r="G84" s="37"/>
    </row>
    <row r="85" spans="4:7">
      <c r="D85" s="37"/>
      <c r="E85" s="37"/>
      <c r="F85" s="37"/>
      <c r="G85" s="37"/>
    </row>
    <row r="86" spans="4:7">
      <c r="D86" s="37"/>
      <c r="E86" s="37"/>
      <c r="F86" s="37"/>
      <c r="G86" s="37"/>
    </row>
    <row r="87" spans="4:7">
      <c r="D87" s="37"/>
      <c r="E87" s="37"/>
      <c r="F87" s="37"/>
      <c r="G87" s="37"/>
    </row>
    <row r="88" spans="4:7">
      <c r="D88" s="37"/>
      <c r="E88" s="37"/>
      <c r="F88" s="37"/>
      <c r="G88" s="37"/>
    </row>
    <row r="89" spans="4:7">
      <c r="D89" s="37"/>
      <c r="E89" s="37"/>
      <c r="F89" s="37"/>
      <c r="G89" s="37"/>
    </row>
    <row r="90" spans="4:7">
      <c r="D90" s="37"/>
      <c r="E90" s="37"/>
      <c r="F90" s="37"/>
      <c r="G90" s="37"/>
    </row>
    <row r="91" spans="4:7">
      <c r="D91" s="37"/>
      <c r="E91" s="37"/>
      <c r="F91" s="37"/>
      <c r="G91" s="37"/>
    </row>
    <row r="92" spans="4:7">
      <c r="D92" s="37"/>
      <c r="E92" s="37"/>
      <c r="F92" s="37"/>
      <c r="G92" s="37"/>
    </row>
    <row r="93" spans="4:7">
      <c r="D93" s="37"/>
      <c r="E93" s="37"/>
      <c r="F93" s="37"/>
      <c r="G93" s="37"/>
    </row>
    <row r="94" spans="4:7">
      <c r="D94" s="37"/>
      <c r="E94" s="37"/>
      <c r="F94" s="37"/>
      <c r="G94" s="37"/>
    </row>
    <row r="95" spans="4:7">
      <c r="D95" s="37"/>
      <c r="E95" s="37"/>
      <c r="F95" s="37"/>
      <c r="G95" s="37"/>
    </row>
    <row r="96" spans="4:7">
      <c r="D96" s="37"/>
      <c r="E96" s="37"/>
      <c r="F96" s="37"/>
      <c r="G96" s="37"/>
    </row>
    <row r="97" spans="4:7">
      <c r="D97" s="37"/>
      <c r="E97" s="37"/>
      <c r="F97" s="37"/>
      <c r="G97" s="37"/>
    </row>
    <row r="98" spans="4:7">
      <c r="D98" s="37"/>
      <c r="E98" s="37"/>
      <c r="F98" s="37"/>
      <c r="G98" s="37"/>
    </row>
    <row r="99" spans="4:7">
      <c r="D99" s="37"/>
      <c r="E99" s="37"/>
      <c r="F99" s="37"/>
      <c r="G99" s="37"/>
    </row>
    <row r="100" spans="4:7">
      <c r="D100" s="37"/>
      <c r="E100" s="37"/>
      <c r="F100" s="37"/>
      <c r="G100" s="37"/>
    </row>
    <row r="101" spans="4:7">
      <c r="D101" s="37"/>
      <c r="E101" s="37"/>
      <c r="F101" s="37"/>
      <c r="G101" s="37"/>
    </row>
    <row r="102" spans="4:7">
      <c r="D102" s="37"/>
      <c r="E102" s="37"/>
      <c r="F102" s="37"/>
      <c r="G102" s="37"/>
    </row>
    <row r="103" spans="4:7">
      <c r="D103" s="37"/>
      <c r="E103" s="37"/>
      <c r="F103" s="37"/>
      <c r="G103" s="37"/>
    </row>
    <row r="104" spans="4:7">
      <c r="D104" s="37"/>
      <c r="E104" s="37"/>
      <c r="F104" s="37"/>
      <c r="G104" s="37"/>
    </row>
    <row r="105" spans="4:7">
      <c r="D105" s="37"/>
      <c r="E105" s="37"/>
      <c r="F105" s="37"/>
      <c r="G105" s="37"/>
    </row>
    <row r="106" spans="4:7">
      <c r="D106" s="37"/>
      <c r="E106" s="37"/>
      <c r="F106" s="37"/>
      <c r="G106" s="37"/>
    </row>
    <row r="107" spans="4:7">
      <c r="D107" s="37"/>
      <c r="E107" s="37"/>
      <c r="F107" s="37"/>
      <c r="G107" s="37"/>
    </row>
    <row r="108" spans="4:7">
      <c r="D108" s="37"/>
      <c r="E108" s="37"/>
      <c r="F108" s="37"/>
      <c r="G108" s="37"/>
    </row>
    <row r="109" spans="4:7">
      <c r="D109" s="37"/>
      <c r="E109" s="37"/>
      <c r="F109" s="37"/>
      <c r="G109" s="37"/>
    </row>
    <row r="110" spans="4:7">
      <c r="D110" s="37"/>
      <c r="E110" s="37"/>
      <c r="F110" s="37"/>
      <c r="G110" s="37"/>
    </row>
    <row r="111" spans="4:7">
      <c r="D111" s="37"/>
      <c r="E111" s="37"/>
      <c r="F111" s="37"/>
      <c r="G111" s="37"/>
    </row>
    <row r="112" spans="4:7">
      <c r="D112" s="37"/>
      <c r="E112" s="37"/>
      <c r="F112" s="37"/>
      <c r="G112" s="37"/>
    </row>
    <row r="113" spans="4:7">
      <c r="D113" s="37"/>
      <c r="E113" s="37"/>
      <c r="F113" s="37"/>
      <c r="G113" s="37"/>
    </row>
    <row r="114" spans="4:7">
      <c r="D114" s="37"/>
      <c r="E114" s="37"/>
      <c r="F114" s="37"/>
      <c r="G114" s="37"/>
    </row>
    <row r="115" spans="4:7">
      <c r="D115" s="37"/>
      <c r="E115" s="37"/>
      <c r="F115" s="37"/>
      <c r="G115" s="37"/>
    </row>
    <row r="116" spans="4:7">
      <c r="D116" s="37"/>
      <c r="E116" s="37"/>
      <c r="F116" s="37"/>
      <c r="G116" s="37"/>
    </row>
    <row r="117" spans="4:7">
      <c r="D117" s="37"/>
      <c r="E117" s="37"/>
      <c r="F117" s="37"/>
      <c r="G117" s="37"/>
    </row>
    <row r="118" spans="4:7">
      <c r="D118" s="37"/>
      <c r="E118" s="37"/>
      <c r="F118" s="37"/>
      <c r="G118" s="37"/>
    </row>
    <row r="119" spans="4:7">
      <c r="D119" s="37"/>
      <c r="E119" s="37"/>
      <c r="F119" s="37"/>
      <c r="G119" s="37"/>
    </row>
    <row r="120" spans="4:7">
      <c r="D120" s="37"/>
      <c r="E120" s="37"/>
      <c r="F120" s="37"/>
      <c r="G120" s="37"/>
    </row>
    <row r="121" spans="4:7">
      <c r="D121" s="37"/>
      <c r="E121" s="37"/>
      <c r="F121" s="37"/>
      <c r="G121" s="37"/>
    </row>
    <row r="122" spans="4:7">
      <c r="D122" s="37"/>
      <c r="E122" s="37"/>
      <c r="F122" s="37"/>
      <c r="G122" s="37"/>
    </row>
    <row r="123" spans="4:7">
      <c r="D123" s="37"/>
      <c r="E123" s="37"/>
      <c r="F123" s="37"/>
      <c r="G123" s="37"/>
    </row>
    <row r="124" spans="4:7">
      <c r="D124" s="37"/>
      <c r="E124" s="37"/>
      <c r="F124" s="37"/>
      <c r="G124" s="37"/>
    </row>
    <row r="125" spans="4:7">
      <c r="D125" s="37"/>
      <c r="E125" s="37"/>
      <c r="F125" s="37"/>
      <c r="G125" s="37"/>
    </row>
    <row r="126" spans="4:7">
      <c r="D126" s="37"/>
      <c r="E126" s="37"/>
      <c r="F126" s="37"/>
      <c r="G126" s="37"/>
    </row>
    <row r="127" spans="4:7">
      <c r="D127" s="37"/>
      <c r="E127" s="37"/>
      <c r="F127" s="37"/>
      <c r="G127" s="37"/>
    </row>
    <row r="128" spans="4:7">
      <c r="D128" s="37"/>
      <c r="E128" s="37"/>
      <c r="F128" s="37"/>
      <c r="G128" s="37"/>
    </row>
    <row r="129" spans="4:7">
      <c r="D129" s="37"/>
      <c r="E129" s="37"/>
      <c r="F129" s="37"/>
      <c r="G129" s="37"/>
    </row>
    <row r="130" spans="4:7">
      <c r="D130" s="37"/>
      <c r="E130" s="37"/>
      <c r="F130" s="37"/>
      <c r="G130" s="37"/>
    </row>
    <row r="131" spans="4:7">
      <c r="D131" s="37"/>
      <c r="E131" s="37"/>
      <c r="F131" s="37"/>
      <c r="G131" s="37"/>
    </row>
    <row r="132" spans="4:7">
      <c r="D132" s="37"/>
      <c r="E132" s="37"/>
      <c r="F132" s="37"/>
      <c r="G132" s="37"/>
    </row>
    <row r="133" spans="4:7">
      <c r="D133" s="37"/>
      <c r="E133" s="37"/>
      <c r="F133" s="37"/>
      <c r="G133" s="37"/>
    </row>
    <row r="134" spans="4:7">
      <c r="D134" s="37"/>
      <c r="E134" s="37"/>
      <c r="F134" s="37"/>
      <c r="G134" s="37"/>
    </row>
    <row r="135" spans="4:7">
      <c r="D135" s="37"/>
      <c r="E135" s="37"/>
      <c r="F135" s="37"/>
      <c r="G135" s="37"/>
    </row>
    <row r="136" spans="4:7">
      <c r="D136" s="37"/>
      <c r="E136" s="37"/>
      <c r="F136" s="37"/>
      <c r="G136" s="37"/>
    </row>
    <row r="137" spans="4:7">
      <c r="D137" s="37"/>
      <c r="E137" s="37"/>
      <c r="F137" s="37"/>
      <c r="G137" s="37"/>
    </row>
    <row r="138" spans="4:7">
      <c r="D138" s="37"/>
      <c r="E138" s="37"/>
      <c r="F138" s="37"/>
      <c r="G138" s="37"/>
    </row>
    <row r="139" spans="4:7">
      <c r="D139" s="37"/>
      <c r="E139" s="37"/>
      <c r="F139" s="37"/>
      <c r="G139" s="37"/>
    </row>
    <row r="140" spans="4:7">
      <c r="D140" s="37"/>
      <c r="E140" s="37"/>
      <c r="F140" s="37"/>
      <c r="G140" s="37"/>
    </row>
    <row r="141" spans="4:7">
      <c r="D141" s="37"/>
      <c r="E141" s="37"/>
      <c r="F141" s="37"/>
      <c r="G141" s="37"/>
    </row>
    <row r="142" spans="4:7">
      <c r="D142" s="37"/>
      <c r="E142" s="37"/>
      <c r="F142" s="37"/>
      <c r="G142" s="37"/>
    </row>
    <row r="143" spans="4:7">
      <c r="D143" s="37"/>
      <c r="E143" s="37"/>
      <c r="F143" s="37"/>
      <c r="G143" s="37"/>
    </row>
    <row r="144" spans="4:7">
      <c r="D144" s="37"/>
      <c r="E144" s="37"/>
      <c r="F144" s="37"/>
      <c r="G144" s="37"/>
    </row>
    <row r="145" spans="4:7">
      <c r="D145" s="37"/>
      <c r="E145" s="37"/>
      <c r="F145" s="37"/>
      <c r="G145" s="37"/>
    </row>
    <row r="146" spans="4:7">
      <c r="D146" s="37"/>
      <c r="E146" s="37"/>
      <c r="F146" s="37"/>
      <c r="G146" s="37"/>
    </row>
    <row r="147" spans="4:7">
      <c r="D147" s="37"/>
      <c r="E147" s="37"/>
      <c r="F147" s="37"/>
      <c r="G147" s="37"/>
    </row>
    <row r="148" spans="4:7">
      <c r="D148" s="37"/>
      <c r="E148" s="37"/>
      <c r="F148" s="37"/>
      <c r="G148" s="37"/>
    </row>
    <row r="149" spans="4:7">
      <c r="D149" s="37"/>
      <c r="E149" s="37"/>
      <c r="F149" s="37"/>
      <c r="G149" s="37"/>
    </row>
    <row r="150" spans="4:7">
      <c r="D150" s="37"/>
      <c r="E150" s="37"/>
      <c r="F150" s="37"/>
      <c r="G150" s="37"/>
    </row>
    <row r="151" spans="4:7">
      <c r="D151" s="37"/>
      <c r="E151" s="37"/>
      <c r="F151" s="37"/>
      <c r="G151" s="37"/>
    </row>
    <row r="152" spans="4:7">
      <c r="D152" s="37"/>
      <c r="E152" s="37"/>
      <c r="F152" s="37"/>
      <c r="G152" s="37"/>
    </row>
    <row r="153" spans="4:7">
      <c r="D153" s="37"/>
      <c r="E153" s="37"/>
      <c r="F153" s="37"/>
      <c r="G153" s="37"/>
    </row>
    <row r="154" spans="4:7">
      <c r="D154" s="37"/>
      <c r="E154" s="37"/>
      <c r="F154" s="37"/>
      <c r="G154" s="37"/>
    </row>
    <row r="155" spans="4:7">
      <c r="D155" s="37"/>
      <c r="E155" s="37"/>
      <c r="F155" s="37"/>
      <c r="G155" s="37"/>
    </row>
    <row r="156" spans="4:7">
      <c r="D156" s="37"/>
      <c r="E156" s="37"/>
      <c r="F156" s="37"/>
      <c r="G156" s="37"/>
    </row>
    <row r="157" spans="4:7">
      <c r="D157" s="37"/>
      <c r="E157" s="37"/>
      <c r="F157" s="37"/>
      <c r="G157" s="37"/>
    </row>
    <row r="158" spans="4:7">
      <c r="D158" s="37"/>
      <c r="E158" s="37"/>
      <c r="F158" s="37"/>
      <c r="G158" s="37"/>
    </row>
    <row r="159" spans="4:7">
      <c r="D159" s="37"/>
      <c r="E159" s="37"/>
      <c r="F159" s="37"/>
      <c r="G159" s="37"/>
    </row>
    <row r="160" spans="4:7">
      <c r="D160" s="37"/>
      <c r="E160" s="37"/>
      <c r="F160" s="37"/>
      <c r="G160" s="37"/>
    </row>
    <row r="161" spans="4:7">
      <c r="D161" s="37"/>
      <c r="E161" s="37"/>
      <c r="F161" s="37"/>
      <c r="G161" s="37"/>
    </row>
    <row r="162" spans="4:7">
      <c r="D162" s="37"/>
      <c r="E162" s="37"/>
      <c r="F162" s="37"/>
      <c r="G162" s="37"/>
    </row>
    <row r="163" spans="4:7">
      <c r="D163" s="37"/>
      <c r="E163" s="37"/>
      <c r="F163" s="37"/>
      <c r="G163" s="37"/>
    </row>
    <row r="164" spans="4:7">
      <c r="D164" s="37"/>
      <c r="E164" s="37"/>
      <c r="F164" s="37"/>
      <c r="G164" s="37"/>
    </row>
    <row r="165" spans="4:7">
      <c r="D165" s="37"/>
      <c r="E165" s="37"/>
      <c r="F165" s="37"/>
      <c r="G165" s="37"/>
    </row>
    <row r="166" spans="4:7">
      <c r="D166" s="37"/>
      <c r="E166" s="37"/>
      <c r="F166" s="37"/>
      <c r="G166" s="37"/>
    </row>
    <row r="167" spans="4:7">
      <c r="D167" s="37"/>
      <c r="E167" s="37"/>
      <c r="F167" s="37"/>
      <c r="G167" s="37"/>
    </row>
    <row r="168" spans="4:7">
      <c r="D168" s="37"/>
      <c r="E168" s="37"/>
      <c r="F168" s="37"/>
      <c r="G168" s="37"/>
    </row>
    <row r="169" spans="4:7">
      <c r="D169" s="37"/>
      <c r="E169" s="37"/>
      <c r="F169" s="37"/>
      <c r="G169" s="37"/>
    </row>
    <row r="170" spans="4:7">
      <c r="D170" s="37"/>
      <c r="E170" s="37"/>
      <c r="F170" s="37"/>
      <c r="G170" s="37"/>
    </row>
    <row r="171" spans="4:7">
      <c r="D171" s="37"/>
      <c r="E171" s="37"/>
      <c r="F171" s="37"/>
      <c r="G171" s="37"/>
    </row>
    <row r="172" spans="4:7">
      <c r="D172" s="37"/>
      <c r="E172" s="37"/>
      <c r="F172" s="37"/>
      <c r="G172" s="37"/>
    </row>
    <row r="173" spans="4:7">
      <c r="D173" s="37"/>
      <c r="E173" s="37"/>
      <c r="F173" s="37"/>
      <c r="G173" s="37"/>
    </row>
    <row r="174" spans="4:7">
      <c r="D174" s="37"/>
      <c r="E174" s="37"/>
      <c r="F174" s="37"/>
      <c r="G174" s="37"/>
    </row>
    <row r="175" spans="4:7">
      <c r="D175" s="37"/>
      <c r="E175" s="37"/>
      <c r="F175" s="37"/>
      <c r="G175" s="37"/>
    </row>
    <row r="176" spans="4:7">
      <c r="D176" s="37"/>
      <c r="E176" s="37"/>
      <c r="F176" s="37"/>
      <c r="G176" s="37"/>
    </row>
    <row r="177" spans="4:7">
      <c r="D177" s="37"/>
      <c r="E177" s="37"/>
      <c r="F177" s="37"/>
      <c r="G177" s="37"/>
    </row>
    <row r="178" spans="4:7">
      <c r="D178" s="37"/>
      <c r="E178" s="37"/>
      <c r="F178" s="37"/>
      <c r="G178" s="37"/>
    </row>
    <row r="179" spans="4:7">
      <c r="D179" s="37"/>
      <c r="E179" s="37"/>
      <c r="F179" s="37"/>
      <c r="G179" s="37"/>
    </row>
    <row r="180" spans="4:7">
      <c r="D180" s="37"/>
      <c r="E180" s="37"/>
      <c r="F180" s="37"/>
      <c r="G180" s="37"/>
    </row>
    <row r="181" spans="4:7">
      <c r="D181" s="37"/>
      <c r="E181" s="37"/>
      <c r="F181" s="37"/>
      <c r="G181" s="37"/>
    </row>
    <row r="182" spans="4:7">
      <c r="D182" s="37"/>
      <c r="E182" s="37"/>
      <c r="F182" s="37"/>
      <c r="G182" s="37"/>
    </row>
    <row r="183" spans="4:7">
      <c r="D183" s="37"/>
      <c r="E183" s="37"/>
      <c r="F183" s="37"/>
      <c r="G183" s="37"/>
    </row>
    <row r="184" spans="4:7">
      <c r="D184" s="37"/>
      <c r="E184" s="37"/>
      <c r="F184" s="37"/>
      <c r="G184" s="37"/>
    </row>
    <row r="185" spans="4:7">
      <c r="D185" s="37"/>
      <c r="E185" s="37"/>
      <c r="F185" s="37"/>
      <c r="G185" s="37"/>
    </row>
    <row r="186" spans="4:7">
      <c r="D186" s="37"/>
      <c r="E186" s="37"/>
      <c r="F186" s="37"/>
      <c r="G186" s="37"/>
    </row>
    <row r="187" spans="4:7">
      <c r="D187" s="37"/>
      <c r="E187" s="37"/>
      <c r="F187" s="37"/>
      <c r="G187" s="37"/>
    </row>
    <row r="188" spans="4:7">
      <c r="D188" s="37"/>
      <c r="E188" s="37"/>
      <c r="F188" s="37"/>
      <c r="G188" s="37"/>
    </row>
    <row r="189" spans="4:7">
      <c r="D189" s="37"/>
      <c r="E189" s="37"/>
      <c r="F189" s="37"/>
      <c r="G189" s="37"/>
    </row>
    <row r="190" spans="4:7">
      <c r="D190" s="37"/>
      <c r="E190" s="37"/>
      <c r="F190" s="37"/>
      <c r="G190" s="37"/>
    </row>
    <row r="191" spans="4:7">
      <c r="D191" s="37"/>
      <c r="E191" s="37"/>
      <c r="F191" s="37"/>
      <c r="G191" s="37"/>
    </row>
    <row r="192" spans="4:7">
      <c r="D192" s="37"/>
      <c r="E192" s="37"/>
      <c r="F192" s="37"/>
      <c r="G192" s="37"/>
    </row>
    <row r="193" spans="4:7">
      <c r="D193" s="37"/>
      <c r="E193" s="37"/>
      <c r="F193" s="37"/>
      <c r="G193" s="37"/>
    </row>
    <row r="194" spans="4:7">
      <c r="D194" s="37"/>
      <c r="E194" s="37"/>
      <c r="F194" s="37"/>
      <c r="G194" s="37"/>
    </row>
    <row r="195" spans="4:7">
      <c r="D195" s="37"/>
      <c r="E195" s="37"/>
      <c r="F195" s="37"/>
      <c r="G195" s="37"/>
    </row>
    <row r="196" spans="4:7">
      <c r="D196" s="37"/>
      <c r="E196" s="37"/>
      <c r="F196" s="37"/>
      <c r="G196" s="37"/>
    </row>
    <row r="197" spans="4:7">
      <c r="D197" s="37"/>
      <c r="E197" s="37"/>
      <c r="F197" s="37"/>
      <c r="G197" s="37"/>
    </row>
    <row r="198" spans="4:7">
      <c r="D198" s="37"/>
      <c r="E198" s="37"/>
      <c r="F198" s="37"/>
      <c r="G198" s="37"/>
    </row>
    <row r="199" spans="4:7">
      <c r="D199" s="37"/>
      <c r="E199" s="37"/>
      <c r="F199" s="37"/>
      <c r="G199" s="37"/>
    </row>
    <row r="200" spans="4:7">
      <c r="D200" s="37"/>
      <c r="E200" s="37"/>
      <c r="F200" s="37"/>
      <c r="G200" s="37"/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Q201"/>
  <sheetViews>
    <sheetView workbookViewId="0">
      <selection activeCell="A1" sqref="A1"/>
    </sheetView>
  </sheetViews>
  <sheetFormatPr defaultColWidth="14" defaultRowHeight="15.2"/>
  <cols>
    <col min="2" max="3" width="40" customWidth="1"/>
    <col min="4" max="4" width="17" customWidth="1"/>
    <col min="5" max="5" width="16" customWidth="1"/>
    <col min="6" max="6" width="24" customWidth="1"/>
    <col min="7" max="7" width="25" customWidth="1"/>
    <col min="8" max="11" width="14" customWidth="1"/>
  </cols>
  <sheetData>
    <row r="1" spans="1:17">
      <c r="A1" s="1" t="s">
        <v>64</v>
      </c>
      <c r="B1" s="1" t="s">
        <v>65</v>
      </c>
      <c r="C1" s="31" t="s">
        <v>68</v>
      </c>
      <c r="D1" s="1" t="s">
        <v>71</v>
      </c>
      <c r="E1" s="1" t="s">
        <v>72</v>
      </c>
      <c r="F1" s="1" t="s">
        <v>186</v>
      </c>
      <c r="G1" s="1" t="s">
        <v>187</v>
      </c>
      <c r="H1" s="1" t="s">
        <v>74</v>
      </c>
      <c r="I1" s="1" t="s">
        <v>75</v>
      </c>
      <c r="J1" s="1" t="s">
        <v>76</v>
      </c>
      <c r="K1" s="1" t="s">
        <v>77</v>
      </c>
      <c r="L1" s="1" t="s">
        <v>78</v>
      </c>
      <c r="M1" s="1" t="s">
        <v>79</v>
      </c>
      <c r="N1" s="1" t="s">
        <v>80</v>
      </c>
      <c r="P1" s="16" t="s">
        <v>72</v>
      </c>
      <c r="Q1" s="16" t="s">
        <v>81</v>
      </c>
    </row>
    <row r="2" ht="19" customHeight="1" spans="1:17">
      <c r="A2" s="1" t="s">
        <v>42</v>
      </c>
      <c r="B2" s="1" t="s">
        <v>43</v>
      </c>
      <c r="C2" s="31" t="s">
        <v>188</v>
      </c>
      <c r="D2" s="1" t="s">
        <v>189</v>
      </c>
      <c r="E2" s="1" t="s">
        <v>190</v>
      </c>
      <c r="F2" s="1" t="s">
        <v>191</v>
      </c>
      <c r="G2" s="1" t="s">
        <v>192</v>
      </c>
      <c r="H2" s="1"/>
      <c r="I2" s="1"/>
      <c r="J2" s="1"/>
      <c r="K2" s="1"/>
      <c r="L2" s="1"/>
      <c r="M2" s="1"/>
      <c r="N2" s="1"/>
      <c r="P2" s="16"/>
      <c r="Q2" s="16"/>
    </row>
    <row r="3" ht="51" customHeight="1" spans="1:17">
      <c r="A3" s="1" t="s">
        <v>57</v>
      </c>
      <c r="B3" s="1" t="s">
        <v>84</v>
      </c>
      <c r="C3" s="32" t="s">
        <v>86</v>
      </c>
      <c r="D3" s="31">
        <v>10</v>
      </c>
      <c r="E3" s="1" t="s">
        <v>88</v>
      </c>
      <c r="F3" s="1"/>
      <c r="G3" s="1" t="s">
        <v>193</v>
      </c>
      <c r="H3" s="1">
        <v>0.23</v>
      </c>
      <c r="I3" s="1">
        <v>0.26</v>
      </c>
      <c r="J3" s="1">
        <v>0.29</v>
      </c>
      <c r="K3" s="1">
        <v>0.32</v>
      </c>
      <c r="L3" s="1"/>
      <c r="M3" s="1" t="s">
        <v>89</v>
      </c>
      <c r="N3" s="1"/>
      <c r="P3" s="16" t="s">
        <v>90</v>
      </c>
      <c r="Q3" s="1">
        <v>1</v>
      </c>
    </row>
    <row r="4" ht="42" spans="1:17">
      <c r="A4" s="1" t="s">
        <v>57</v>
      </c>
      <c r="B4" s="1" t="s">
        <v>93</v>
      </c>
      <c r="C4" s="32" t="s">
        <v>95</v>
      </c>
      <c r="D4" s="31">
        <v>0</v>
      </c>
      <c r="E4" s="1" t="s">
        <v>88</v>
      </c>
      <c r="F4" s="1"/>
      <c r="G4" s="1" t="s">
        <v>194</v>
      </c>
      <c r="H4" s="1">
        <v>0.23</v>
      </c>
      <c r="I4" s="1">
        <v>0.26</v>
      </c>
      <c r="J4" s="1">
        <v>0.29</v>
      </c>
      <c r="K4" s="1">
        <v>0.32</v>
      </c>
      <c r="L4" s="1"/>
      <c r="M4" s="1" t="s">
        <v>96</v>
      </c>
      <c r="N4" s="1"/>
      <c r="P4" s="16" t="s">
        <v>97</v>
      </c>
      <c r="Q4" s="1">
        <v>2</v>
      </c>
    </row>
    <row r="5" ht="28" spans="1:17">
      <c r="A5" s="1" t="s">
        <v>57</v>
      </c>
      <c r="B5" s="1" t="s">
        <v>100</v>
      </c>
      <c r="C5" s="32" t="s">
        <v>102</v>
      </c>
      <c r="D5" s="31">
        <v>0</v>
      </c>
      <c r="E5" s="1">
        <v>4</v>
      </c>
      <c r="F5" s="1"/>
      <c r="G5" s="1" t="s">
        <v>195</v>
      </c>
      <c r="H5" s="1">
        <v>0.07</v>
      </c>
      <c r="I5" s="1">
        <v>0.08</v>
      </c>
      <c r="J5" s="1">
        <v>0.09</v>
      </c>
      <c r="K5" s="1">
        <v>0.1</v>
      </c>
      <c r="L5" s="1"/>
      <c r="M5" s="1"/>
      <c r="N5" s="1"/>
      <c r="P5" s="16" t="s">
        <v>103</v>
      </c>
      <c r="Q5" s="1">
        <v>3</v>
      </c>
    </row>
    <row r="6" ht="42" spans="1:17">
      <c r="A6" s="1" t="s">
        <v>59</v>
      </c>
      <c r="B6" s="1" t="s">
        <v>107</v>
      </c>
      <c r="C6" s="32" t="s">
        <v>109</v>
      </c>
      <c r="D6" s="31">
        <v>10</v>
      </c>
      <c r="E6" s="1" t="s">
        <v>88</v>
      </c>
      <c r="F6" s="1"/>
      <c r="G6" s="1" t="s">
        <v>196</v>
      </c>
      <c r="H6" s="1">
        <v>1.2</v>
      </c>
      <c r="I6" s="1">
        <v>1.4</v>
      </c>
      <c r="J6" s="1">
        <v>1.6</v>
      </c>
      <c r="K6" s="1">
        <v>1.8</v>
      </c>
      <c r="M6" s="1" t="s">
        <v>110</v>
      </c>
      <c r="N6" s="1">
        <v>0.3</v>
      </c>
      <c r="P6" s="33" t="s">
        <v>111</v>
      </c>
      <c r="Q6" s="1">
        <v>4</v>
      </c>
    </row>
    <row r="7" ht="42" spans="1:17">
      <c r="A7" s="1" t="s">
        <v>59</v>
      </c>
      <c r="B7" s="1" t="s">
        <v>114</v>
      </c>
      <c r="C7" s="32" t="s">
        <v>116</v>
      </c>
      <c r="D7" s="31">
        <v>0</v>
      </c>
      <c r="E7" s="1" t="s">
        <v>117</v>
      </c>
      <c r="F7" s="1"/>
      <c r="G7" s="1">
        <v>0.01</v>
      </c>
      <c r="H7" s="1">
        <v>0.02</v>
      </c>
      <c r="I7" s="1">
        <v>0.03</v>
      </c>
      <c r="J7" s="1">
        <v>0.04</v>
      </c>
      <c r="K7" s="1">
        <v>0.05</v>
      </c>
      <c r="L7" s="1" t="s">
        <v>118</v>
      </c>
      <c r="M7" s="1"/>
      <c r="N7" s="1">
        <v>0.5</v>
      </c>
      <c r="P7" s="14"/>
      <c r="Q7" s="14"/>
    </row>
    <row r="8" ht="28" spans="1:17">
      <c r="A8" s="1" t="s">
        <v>59</v>
      </c>
      <c r="B8" s="1" t="s">
        <v>121</v>
      </c>
      <c r="C8" s="32" t="s">
        <v>123</v>
      </c>
      <c r="D8" s="31">
        <v>0</v>
      </c>
      <c r="E8" s="1" t="s">
        <v>117</v>
      </c>
      <c r="F8" s="1"/>
      <c r="G8" s="1">
        <v>0.6</v>
      </c>
      <c r="H8" s="1">
        <v>0.65</v>
      </c>
      <c r="I8" s="1">
        <v>0.7</v>
      </c>
      <c r="J8" s="1">
        <v>0.75</v>
      </c>
      <c r="K8" s="1">
        <v>0.8</v>
      </c>
      <c r="L8" s="1" t="s">
        <v>125</v>
      </c>
      <c r="M8" s="1"/>
      <c r="N8" s="1"/>
      <c r="P8" s="14"/>
      <c r="Q8" s="14"/>
    </row>
    <row r="9" ht="56" spans="1:17">
      <c r="A9" s="1" t="s">
        <v>61</v>
      </c>
      <c r="B9" s="1" t="s">
        <v>127</v>
      </c>
      <c r="C9" s="32" t="s">
        <v>129</v>
      </c>
      <c r="D9" s="31">
        <v>10</v>
      </c>
      <c r="E9" s="1" t="s">
        <v>88</v>
      </c>
      <c r="F9" s="1"/>
      <c r="G9" s="1">
        <v>2000</v>
      </c>
      <c r="H9" s="1">
        <v>3000</v>
      </c>
      <c r="I9" s="1">
        <v>4000</v>
      </c>
      <c r="J9" s="1">
        <v>5000</v>
      </c>
      <c r="K9" s="1">
        <v>6000</v>
      </c>
      <c r="L9" s="1" t="s">
        <v>131</v>
      </c>
      <c r="M9" s="1"/>
      <c r="N9" s="1">
        <v>0.4</v>
      </c>
      <c r="P9" s="14"/>
      <c r="Q9" s="14"/>
    </row>
    <row r="10" ht="28" spans="1:17">
      <c r="A10" s="1" t="s">
        <v>61</v>
      </c>
      <c r="B10" s="1" t="s">
        <v>133</v>
      </c>
      <c r="C10" s="32" t="s">
        <v>135</v>
      </c>
      <c r="D10" s="31">
        <v>0</v>
      </c>
      <c r="E10" s="34">
        <v>3</v>
      </c>
      <c r="F10" s="34"/>
      <c r="G10" s="34">
        <v>0.1</v>
      </c>
      <c r="H10" s="1">
        <v>0.13</v>
      </c>
      <c r="I10" s="34">
        <v>0.16</v>
      </c>
      <c r="J10" s="1">
        <v>0.19</v>
      </c>
      <c r="K10" s="34">
        <v>0.22</v>
      </c>
      <c r="L10" s="1"/>
      <c r="M10" s="1"/>
      <c r="N10" s="1"/>
      <c r="P10" s="14"/>
      <c r="Q10" s="14"/>
    </row>
    <row r="11" ht="28" spans="1:17">
      <c r="A11" s="1" t="s">
        <v>61</v>
      </c>
      <c r="B11" s="35" t="s">
        <v>137</v>
      </c>
      <c r="C11" s="32" t="s">
        <v>139</v>
      </c>
      <c r="D11" s="31">
        <v>0</v>
      </c>
      <c r="E11" s="1">
        <v>4</v>
      </c>
      <c r="F11" s="1"/>
      <c r="G11" s="1">
        <v>0.01</v>
      </c>
      <c r="H11" s="1">
        <v>0.02</v>
      </c>
      <c r="I11" s="1">
        <v>0.03</v>
      </c>
      <c r="J11" s="1">
        <v>0.04</v>
      </c>
      <c r="K11" s="1">
        <v>0.05</v>
      </c>
      <c r="L11" s="1"/>
      <c r="M11" s="1"/>
      <c r="N11" s="1"/>
      <c r="P11" s="14"/>
      <c r="Q11" s="14"/>
    </row>
    <row r="12" ht="42" spans="1:17">
      <c r="A12" s="1" t="s">
        <v>62</v>
      </c>
      <c r="B12" s="1" t="s">
        <v>141</v>
      </c>
      <c r="C12" s="32" t="s">
        <v>143</v>
      </c>
      <c r="D12" s="31">
        <v>10</v>
      </c>
      <c r="E12" s="1" t="s">
        <v>144</v>
      </c>
      <c r="F12" s="1"/>
      <c r="G12" s="1">
        <v>1500</v>
      </c>
      <c r="H12" s="1">
        <v>2000</v>
      </c>
      <c r="I12" s="1">
        <v>2500</v>
      </c>
      <c r="J12" s="1">
        <v>3000</v>
      </c>
      <c r="K12" s="1">
        <v>3500</v>
      </c>
      <c r="L12" s="1" t="s">
        <v>96</v>
      </c>
      <c r="M12" s="1"/>
      <c r="N12" s="1"/>
      <c r="P12" s="14"/>
      <c r="Q12" s="14"/>
    </row>
    <row r="13" ht="28" spans="1:17">
      <c r="A13" s="1" t="s">
        <v>62</v>
      </c>
      <c r="B13" s="36" t="s">
        <v>146</v>
      </c>
      <c r="C13" s="32" t="s">
        <v>148</v>
      </c>
      <c r="D13" s="31">
        <v>0</v>
      </c>
      <c r="E13" s="1">
        <v>2</v>
      </c>
      <c r="F13" s="1"/>
      <c r="G13" s="1">
        <v>0.2</v>
      </c>
      <c r="H13" s="1">
        <v>0.22</v>
      </c>
      <c r="I13" s="1">
        <v>0.24</v>
      </c>
      <c r="J13" s="1">
        <v>0.26</v>
      </c>
      <c r="K13" s="1">
        <v>0.28</v>
      </c>
      <c r="L13" s="1"/>
      <c r="M13" s="1"/>
      <c r="N13" s="1">
        <v>0.3</v>
      </c>
      <c r="P13" s="14"/>
      <c r="Q13" s="14"/>
    </row>
    <row r="14" spans="1:17">
      <c r="A14" s="1" t="s">
        <v>62</v>
      </c>
      <c r="B14" s="1" t="s">
        <v>150</v>
      </c>
      <c r="C14" s="32" t="s">
        <v>152</v>
      </c>
      <c r="D14" s="31">
        <v>0</v>
      </c>
      <c r="E14" s="1">
        <v>4</v>
      </c>
      <c r="F14" s="1"/>
      <c r="G14" s="1"/>
      <c r="H14" s="1"/>
      <c r="I14" s="1"/>
      <c r="J14" s="1"/>
      <c r="K14" s="1"/>
      <c r="L14" s="1" t="s">
        <v>153</v>
      </c>
      <c r="M14" s="1"/>
      <c r="N14" s="1"/>
    </row>
    <row r="15" ht="28" spans="1:17">
      <c r="A15" s="1" t="s">
        <v>63</v>
      </c>
      <c r="B15" s="1" t="s">
        <v>155</v>
      </c>
      <c r="C15" s="32" t="s">
        <v>157</v>
      </c>
      <c r="D15" s="31">
        <v>10</v>
      </c>
      <c r="E15" s="1">
        <v>3</v>
      </c>
      <c r="F15" s="1"/>
      <c r="G15" s="1">
        <v>500</v>
      </c>
      <c r="H15" s="1">
        <v>1000</v>
      </c>
      <c r="I15" s="1">
        <v>1500</v>
      </c>
      <c r="J15" s="1">
        <v>2000</v>
      </c>
      <c r="K15" s="1">
        <v>2500</v>
      </c>
      <c r="L15" s="1"/>
      <c r="M15" s="1"/>
      <c r="N15" s="1">
        <v>4</v>
      </c>
    </row>
    <row r="16" spans="1:17">
      <c r="A16" s="1" t="s">
        <v>63</v>
      </c>
      <c r="B16" s="1" t="s">
        <v>159</v>
      </c>
      <c r="C16" s="32" t="s">
        <v>161</v>
      </c>
      <c r="D16" s="31">
        <v>0</v>
      </c>
      <c r="E16" s="1">
        <v>3</v>
      </c>
      <c r="F16" s="1"/>
      <c r="G16" s="1">
        <v>100</v>
      </c>
      <c r="H16" s="1">
        <v>150</v>
      </c>
      <c r="I16" s="1">
        <v>200</v>
      </c>
      <c r="J16" s="1">
        <v>250</v>
      </c>
      <c r="K16" s="1">
        <v>300</v>
      </c>
      <c r="L16" s="1"/>
      <c r="M16" s="1"/>
      <c r="N16" s="1"/>
    </row>
    <row r="17" spans="1:14">
      <c r="A17" s="1" t="s">
        <v>63</v>
      </c>
      <c r="B17" s="1" t="s">
        <v>164</v>
      </c>
      <c r="C17" s="32" t="s">
        <v>166</v>
      </c>
      <c r="D17" s="31">
        <v>0</v>
      </c>
      <c r="E17" s="1">
        <v>3</v>
      </c>
      <c r="F17" s="1"/>
      <c r="G17" s="1">
        <v>0.05</v>
      </c>
      <c r="H17" s="1">
        <v>0.07</v>
      </c>
      <c r="I17" s="1">
        <v>0.09</v>
      </c>
      <c r="J17" s="1">
        <v>0.11</v>
      </c>
      <c r="K17" s="1">
        <v>0.13</v>
      </c>
      <c r="L17" s="1"/>
      <c r="M17" s="1"/>
      <c r="N17" s="1"/>
    </row>
    <row r="18" spans="1:14">
      <c r="C18" s="37"/>
    </row>
    <row r="19" spans="1:14">
      <c r="C19" s="37"/>
    </row>
    <row r="20" spans="1:14">
      <c r="C20" s="37"/>
    </row>
    <row r="21" spans="1:14">
      <c r="C21" s="37"/>
    </row>
    <row r="22" spans="1:14">
      <c r="C22" s="37"/>
    </row>
    <row r="23" spans="1:14">
      <c r="C23" s="37"/>
    </row>
    <row r="24" spans="1:14">
      <c r="C24" s="37"/>
    </row>
    <row r="25" spans="1:14">
      <c r="C25" s="37"/>
    </row>
    <row r="26" spans="1:14">
      <c r="C26" s="37"/>
    </row>
    <row r="27" spans="1:14">
      <c r="C27" s="37"/>
    </row>
    <row r="28" spans="1:14">
      <c r="C28" s="37"/>
    </row>
    <row r="29" spans="1:14">
      <c r="C29" s="37"/>
    </row>
    <row r="30" spans="1:14">
      <c r="C30" s="37"/>
    </row>
    <row r="31" spans="1:14">
      <c r="C31" s="37"/>
    </row>
    <row r="32" spans="1:14">
      <c r="C32" s="37"/>
    </row>
    <row r="33" spans="3:3">
      <c r="C33" s="37"/>
    </row>
    <row r="34" spans="3:3">
      <c r="C34" s="37"/>
    </row>
    <row r="35" spans="3:3">
      <c r="C35" s="37"/>
    </row>
    <row r="36" spans="3:3">
      <c r="C36" s="37"/>
    </row>
    <row r="37" spans="3:3">
      <c r="C37" s="37"/>
    </row>
    <row r="38" spans="3:3">
      <c r="C38" s="37"/>
    </row>
    <row r="39" spans="3:3">
      <c r="C39" s="37"/>
    </row>
    <row r="40" spans="3:3">
      <c r="C40" s="37"/>
    </row>
    <row r="41" spans="3:3">
      <c r="C41" s="37"/>
    </row>
    <row r="42" spans="3:3">
      <c r="C42" s="37"/>
    </row>
    <row r="43" spans="3:3">
      <c r="C43" s="37"/>
    </row>
    <row r="44" spans="3:3">
      <c r="C44" s="37"/>
    </row>
    <row r="45" spans="3:3">
      <c r="C45" s="37"/>
    </row>
    <row r="46" spans="3:3">
      <c r="C46" s="37"/>
    </row>
    <row r="47" spans="3:3">
      <c r="C47" s="37"/>
    </row>
    <row r="48" spans="3:3">
      <c r="C48" s="37"/>
    </row>
    <row r="49" spans="3:3">
      <c r="C49" s="37"/>
    </row>
    <row r="50" spans="3:3">
      <c r="C50" s="37"/>
    </row>
    <row r="51" spans="3:3">
      <c r="C51" s="37"/>
    </row>
    <row r="52" spans="3:3">
      <c r="C52" s="37"/>
    </row>
    <row r="53" spans="3:3">
      <c r="C53" s="37"/>
    </row>
    <row r="54" spans="3:3">
      <c r="C54" s="37"/>
    </row>
    <row r="55" spans="3:3">
      <c r="C55" s="37"/>
    </row>
    <row r="56" spans="3:3">
      <c r="C56" s="37"/>
    </row>
    <row r="57" spans="3:3">
      <c r="C57" s="37"/>
    </row>
    <row r="58" spans="3:3">
      <c r="C58" s="37"/>
    </row>
    <row r="59" spans="3:3">
      <c r="C59" s="37"/>
    </row>
    <row r="60" spans="3:3">
      <c r="C60" s="37"/>
    </row>
    <row r="61" spans="3:3">
      <c r="C61" s="37"/>
    </row>
    <row r="62" spans="3:3">
      <c r="C62" s="37"/>
    </row>
    <row r="63" spans="3:3">
      <c r="C63" s="37"/>
    </row>
    <row r="64" spans="3:3">
      <c r="C64" s="37"/>
    </row>
    <row r="65" spans="3:3">
      <c r="C65" s="37"/>
    </row>
    <row r="66" spans="3:3">
      <c r="C66" s="37"/>
    </row>
    <row r="67" spans="3:3">
      <c r="C67" s="37"/>
    </row>
    <row r="68" spans="3:3">
      <c r="C68" s="37"/>
    </row>
    <row r="69" spans="3:3">
      <c r="C69" s="37"/>
    </row>
    <row r="70" spans="3:3">
      <c r="C70" s="37"/>
    </row>
    <row r="71" spans="3:3">
      <c r="C71" s="37"/>
    </row>
    <row r="72" spans="3:3">
      <c r="C72" s="37"/>
    </row>
    <row r="73" spans="3:3">
      <c r="C73" s="37"/>
    </row>
    <row r="74" spans="3:3">
      <c r="C74" s="37"/>
    </row>
    <row r="75" spans="3:3">
      <c r="C75" s="37"/>
    </row>
    <row r="76" spans="3:3">
      <c r="C76" s="37"/>
    </row>
    <row r="77" spans="3:3">
      <c r="C77" s="37"/>
    </row>
    <row r="78" spans="3:3">
      <c r="C78" s="37"/>
    </row>
    <row r="79" spans="3:3">
      <c r="C79" s="37"/>
    </row>
    <row r="80" spans="3:3">
      <c r="C80" s="37"/>
    </row>
    <row r="81" spans="3:3">
      <c r="C81" s="37"/>
    </row>
    <row r="82" spans="3:3">
      <c r="C82" s="37"/>
    </row>
    <row r="83" spans="3:3">
      <c r="C83" s="37"/>
    </row>
    <row r="84" spans="3:3">
      <c r="C84" s="37"/>
    </row>
    <row r="85" spans="3:3">
      <c r="C85" s="37"/>
    </row>
    <row r="86" spans="3:3">
      <c r="C86" s="37"/>
    </row>
    <row r="87" spans="3:3">
      <c r="C87" s="37"/>
    </row>
    <row r="88" spans="3:3">
      <c r="C88" s="37"/>
    </row>
    <row r="89" spans="3:3">
      <c r="C89" s="37"/>
    </row>
    <row r="90" spans="3:3">
      <c r="C90" s="37"/>
    </row>
    <row r="91" spans="3:3">
      <c r="C91" s="37"/>
    </row>
    <row r="92" spans="3:3">
      <c r="C92" s="37"/>
    </row>
    <row r="93" spans="3:3">
      <c r="C93" s="37"/>
    </row>
    <row r="94" spans="3:3">
      <c r="C94" s="37"/>
    </row>
    <row r="95" spans="3:3">
      <c r="C95" s="37"/>
    </row>
    <row r="96" spans="3:3">
      <c r="C96" s="37"/>
    </row>
    <row r="97" spans="3:3">
      <c r="C97" s="37"/>
    </row>
    <row r="98" spans="3:3">
      <c r="C98" s="37"/>
    </row>
    <row r="99" spans="3:3">
      <c r="C99" s="37"/>
    </row>
    <row r="100" spans="3:3">
      <c r="C100" s="37"/>
    </row>
    <row r="101" spans="3:3">
      <c r="C101" s="37"/>
    </row>
    <row r="102" spans="3:3">
      <c r="C102" s="37"/>
    </row>
    <row r="103" spans="3:3">
      <c r="C103" s="37"/>
    </row>
    <row r="104" spans="3:3">
      <c r="C104" s="37"/>
    </row>
    <row r="105" spans="3:3">
      <c r="C105" s="37"/>
    </row>
    <row r="106" spans="3:3">
      <c r="C106" s="37"/>
    </row>
    <row r="107" spans="3:3">
      <c r="C107" s="37"/>
    </row>
    <row r="108" spans="3:3">
      <c r="C108" s="37"/>
    </row>
    <row r="109" spans="3:3">
      <c r="C109" s="37"/>
    </row>
    <row r="110" spans="3:3">
      <c r="C110" s="37"/>
    </row>
    <row r="111" spans="3:3">
      <c r="C111" s="37"/>
    </row>
    <row r="112" spans="3:3">
      <c r="C112" s="37"/>
    </row>
    <row r="113" spans="3:3">
      <c r="C113" s="37"/>
    </row>
    <row r="114" spans="3:3">
      <c r="C114" s="37"/>
    </row>
    <row r="115" spans="3:3">
      <c r="C115" s="37"/>
    </row>
    <row r="116" spans="3:3">
      <c r="C116" s="37"/>
    </row>
    <row r="117" spans="3:3">
      <c r="C117" s="37"/>
    </row>
    <row r="118" spans="3:3">
      <c r="C118" s="37"/>
    </row>
    <row r="119" spans="3:3">
      <c r="C119" s="37"/>
    </row>
    <row r="120" spans="3:3">
      <c r="C120" s="37"/>
    </row>
    <row r="121" spans="3:3">
      <c r="C121" s="37"/>
    </row>
    <row r="122" spans="3:3">
      <c r="C122" s="37"/>
    </row>
    <row r="123" spans="3:3">
      <c r="C123" s="37"/>
    </row>
    <row r="124" spans="3:3">
      <c r="C124" s="37"/>
    </row>
    <row r="125" spans="3:3">
      <c r="C125" s="37"/>
    </row>
    <row r="126" spans="3:3">
      <c r="C126" s="37"/>
    </row>
    <row r="127" spans="3:3">
      <c r="C127" s="37"/>
    </row>
    <row r="128" spans="3:3">
      <c r="C128" s="37"/>
    </row>
    <row r="129" spans="3:3">
      <c r="C129" s="37"/>
    </row>
    <row r="130" spans="3:3">
      <c r="C130" s="37"/>
    </row>
    <row r="131" spans="3:3">
      <c r="C131" s="37"/>
    </row>
    <row r="132" spans="3:3">
      <c r="C132" s="37"/>
    </row>
    <row r="133" spans="3:3">
      <c r="C133" s="37"/>
    </row>
    <row r="134" spans="3:3">
      <c r="C134" s="37"/>
    </row>
    <row r="135" spans="3:3">
      <c r="C135" s="37"/>
    </row>
    <row r="136" spans="3:3">
      <c r="C136" s="37"/>
    </row>
    <row r="137" spans="3:3">
      <c r="C137" s="37"/>
    </row>
    <row r="138" spans="3:3">
      <c r="C138" s="37"/>
    </row>
    <row r="139" spans="3:3">
      <c r="C139" s="37"/>
    </row>
    <row r="140" spans="3:3">
      <c r="C140" s="37"/>
    </row>
    <row r="141" spans="3:3">
      <c r="C141" s="37"/>
    </row>
    <row r="142" spans="3:3">
      <c r="C142" s="37"/>
    </row>
    <row r="143" spans="3:3">
      <c r="C143" s="37"/>
    </row>
    <row r="144" spans="3:3">
      <c r="C144" s="37"/>
    </row>
    <row r="145" spans="3:3">
      <c r="C145" s="37"/>
    </row>
    <row r="146" spans="3:3">
      <c r="C146" s="37"/>
    </row>
    <row r="147" spans="3:3">
      <c r="C147" s="37"/>
    </row>
    <row r="148" spans="3:3">
      <c r="C148" s="37"/>
    </row>
    <row r="149" spans="3:3">
      <c r="C149" s="37"/>
    </row>
    <row r="150" spans="3:3">
      <c r="C150" s="37"/>
    </row>
    <row r="151" spans="3:3">
      <c r="C151" s="37"/>
    </row>
    <row r="152" spans="3:3">
      <c r="C152" s="37"/>
    </row>
    <row r="153" spans="3:3">
      <c r="C153" s="37"/>
    </row>
    <row r="154" spans="3:3">
      <c r="C154" s="37"/>
    </row>
    <row r="155" spans="3:3">
      <c r="C155" s="37"/>
    </row>
    <row r="156" spans="3:3">
      <c r="C156" s="37"/>
    </row>
    <row r="157" spans="3:3">
      <c r="C157" s="37"/>
    </row>
    <row r="158" spans="3:3">
      <c r="C158" s="37"/>
    </row>
    <row r="159" spans="3:3">
      <c r="C159" s="37"/>
    </row>
    <row r="160" spans="3:3">
      <c r="C160" s="37"/>
    </row>
    <row r="161" spans="3:3">
      <c r="C161" s="37"/>
    </row>
    <row r="162" spans="3:3">
      <c r="C162" s="37"/>
    </row>
    <row r="163" spans="3:3">
      <c r="C163" s="37"/>
    </row>
    <row r="164" spans="3:3">
      <c r="C164" s="37"/>
    </row>
    <row r="165" spans="3:3">
      <c r="C165" s="37"/>
    </row>
    <row r="166" spans="3:3">
      <c r="C166" s="37"/>
    </row>
    <row r="167" spans="3:3">
      <c r="C167" s="37"/>
    </row>
    <row r="168" spans="3:3">
      <c r="C168" s="37"/>
    </row>
    <row r="169" spans="3:3">
      <c r="C169" s="37"/>
    </row>
    <row r="170" spans="3:3">
      <c r="C170" s="37"/>
    </row>
    <row r="171" spans="3:3">
      <c r="C171" s="37"/>
    </row>
    <row r="172" spans="3:3">
      <c r="C172" s="37"/>
    </row>
    <row r="173" spans="3:3">
      <c r="C173" s="37"/>
    </row>
    <row r="174" spans="3:3">
      <c r="C174" s="37"/>
    </row>
    <row r="175" spans="3:3">
      <c r="C175" s="37"/>
    </row>
    <row r="176" spans="3:3">
      <c r="C176" s="37"/>
    </row>
    <row r="177" spans="3:3">
      <c r="C177" s="37"/>
    </row>
    <row r="178" spans="3:3">
      <c r="C178" s="37"/>
    </row>
    <row r="179" spans="3:3">
      <c r="C179" s="37"/>
    </row>
    <row r="180" spans="3:3">
      <c r="C180" s="37"/>
    </row>
    <row r="181" spans="3:3">
      <c r="C181" s="37"/>
    </row>
    <row r="182" spans="3:3">
      <c r="C182" s="37"/>
    </row>
    <row r="183" spans="3:3">
      <c r="C183" s="37"/>
    </row>
    <row r="184" spans="3:3">
      <c r="C184" s="37"/>
    </row>
    <row r="185" spans="3:3">
      <c r="C185" s="37"/>
    </row>
    <row r="186" spans="3:3">
      <c r="C186" s="37"/>
    </row>
    <row r="187" spans="3:3">
      <c r="C187" s="37"/>
    </row>
    <row r="188" spans="3:3">
      <c r="C188" s="37"/>
    </row>
    <row r="189" spans="3:3">
      <c r="C189" s="37"/>
    </row>
    <row r="190" spans="3:3">
      <c r="C190" s="37"/>
    </row>
    <row r="191" spans="3:3">
      <c r="C191" s="37"/>
    </row>
    <row r="192" spans="3:3">
      <c r="C192" s="37"/>
    </row>
    <row r="193" spans="3:3">
      <c r="C193" s="37"/>
    </row>
    <row r="194" spans="3:3">
      <c r="C194" s="37"/>
    </row>
    <row r="195" spans="3:3">
      <c r="C195" s="37"/>
    </row>
    <row r="196" spans="3:3">
      <c r="C196" s="37"/>
    </row>
    <row r="197" spans="3:3">
      <c r="C197" s="37"/>
    </row>
    <row r="198" spans="3:3">
      <c r="C198" s="37"/>
    </row>
    <row r="199" spans="3:3">
      <c r="C199" s="37"/>
    </row>
    <row r="200" spans="3:3">
      <c r="C200" s="37"/>
    </row>
    <row r="201" spans="3:3">
      <c r="C201" s="37"/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X202"/>
  <sheetViews>
    <sheetView workbookViewId="0">
      <selection activeCell="A1" sqref="A1"/>
    </sheetView>
  </sheetViews>
  <sheetFormatPr defaultColWidth="14" defaultRowHeight="15.2"/>
  <cols>
    <col min="3" max="4" width="14" customWidth="1"/>
    <col min="5" max="5" width="20" customWidth="1"/>
    <col min="6" max="6" width="19" customWidth="1"/>
    <col min="8" max="8" width="14" customWidth="1"/>
  </cols>
  <sheetData>
    <row r="1" ht="15.6" spans="1:24">
      <c r="A1" s="29" t="s">
        <v>197</v>
      </c>
      <c r="B1" s="29" t="s">
        <v>36</v>
      </c>
      <c r="C1" s="30" t="s">
        <v>37</v>
      </c>
      <c r="D1" s="29" t="s">
        <v>198</v>
      </c>
      <c r="E1" s="29" t="s">
        <v>199</v>
      </c>
      <c r="F1" s="29" t="s">
        <v>200</v>
      </c>
      <c r="G1" s="29" t="s">
        <v>201</v>
      </c>
      <c r="H1" s="29" t="s">
        <v>202</v>
      </c>
      <c r="I1" s="29" t="s">
        <v>203</v>
      </c>
      <c r="J1" s="29" t="s">
        <v>204</v>
      </c>
      <c r="K1" s="29" t="s">
        <v>205</v>
      </c>
      <c r="L1" s="29" t="s">
        <v>206</v>
      </c>
      <c r="M1" s="29" t="s">
        <v>207</v>
      </c>
      <c r="N1" s="29" t="s">
        <v>208</v>
      </c>
      <c r="O1" s="6"/>
      <c r="P1" s="6"/>
      <c r="Q1" s="6"/>
      <c r="R1" s="6"/>
      <c r="S1" s="6"/>
      <c r="T1" s="6"/>
      <c r="U1" s="6"/>
      <c r="V1" s="6"/>
      <c r="W1" s="6"/>
      <c r="X1" s="6"/>
    </row>
    <row r="2" ht="19" customHeight="1" spans="1:24">
      <c r="A2" s="29" t="s">
        <v>42</v>
      </c>
      <c r="B2" s="29" t="s">
        <v>209</v>
      </c>
      <c r="C2" s="30" t="s">
        <v>210</v>
      </c>
      <c r="D2" s="29" t="s">
        <v>211</v>
      </c>
      <c r="E2" s="29" t="s">
        <v>212</v>
      </c>
      <c r="F2" s="29" t="s">
        <v>213</v>
      </c>
      <c r="G2" s="29" t="s">
        <v>214</v>
      </c>
      <c r="H2" s="29" t="s">
        <v>215</v>
      </c>
      <c r="I2" s="29" t="s">
        <v>216</v>
      </c>
      <c r="J2" s="29" t="s">
        <v>217</v>
      </c>
      <c r="K2" s="29" t="s">
        <v>218</v>
      </c>
      <c r="L2" s="29" t="s">
        <v>219</v>
      </c>
      <c r="M2" s="29" t="s">
        <v>220</v>
      </c>
      <c r="N2" s="29" t="s">
        <v>221</v>
      </c>
      <c r="O2" s="6"/>
      <c r="P2" s="6"/>
      <c r="Q2" s="6"/>
      <c r="R2" s="6"/>
      <c r="S2" s="6"/>
      <c r="T2" s="6"/>
      <c r="U2" s="6"/>
      <c r="V2" s="6"/>
      <c r="W2" s="6"/>
      <c r="X2" s="6"/>
    </row>
    <row r="3" ht="19" customHeight="1" spans="1:24">
      <c r="A3" s="29" t="s">
        <v>53</v>
      </c>
      <c r="B3" s="29" t="s">
        <v>54</v>
      </c>
      <c r="C3" s="30" t="s">
        <v>54</v>
      </c>
      <c r="D3" s="29" t="s">
        <v>54</v>
      </c>
      <c r="E3" s="29" t="s">
        <v>54</v>
      </c>
      <c r="F3" s="29" t="s">
        <v>54</v>
      </c>
      <c r="G3" s="29" t="s">
        <v>54</v>
      </c>
      <c r="H3" s="29" t="s">
        <v>54</v>
      </c>
      <c r="I3" s="29" t="s">
        <v>54</v>
      </c>
      <c r="J3" s="29" t="s">
        <v>54</v>
      </c>
      <c r="K3" s="29" t="s">
        <v>54</v>
      </c>
      <c r="L3" s="29" t="s">
        <v>54</v>
      </c>
      <c r="M3" s="29" t="s">
        <v>54</v>
      </c>
      <c r="N3" s="29" t="s">
        <v>54</v>
      </c>
      <c r="O3" s="6"/>
      <c r="P3" s="6"/>
      <c r="Q3" s="6"/>
      <c r="R3" s="6"/>
      <c r="S3" s="6"/>
      <c r="T3" s="6"/>
      <c r="U3" s="6"/>
      <c r="V3" s="6"/>
      <c r="W3" s="6"/>
      <c r="X3" s="6"/>
    </row>
    <row r="4" spans="1:24">
      <c r="A4" s="29">
        <v>1</v>
      </c>
      <c r="B4" s="29" t="s">
        <v>57</v>
      </c>
      <c r="C4" s="29" t="s">
        <v>20</v>
      </c>
      <c r="D4" s="29" t="s">
        <v>58</v>
      </c>
      <c r="E4" s="29" t="s">
        <v>222</v>
      </c>
      <c r="F4" s="29" t="s">
        <v>223</v>
      </c>
      <c r="G4" s="29" t="s">
        <v>224</v>
      </c>
      <c r="H4" s="29" t="s">
        <v>225</v>
      </c>
      <c r="I4" s="29" t="s">
        <v>83</v>
      </c>
      <c r="J4" s="29" t="s">
        <v>92</v>
      </c>
      <c r="K4" s="29" t="s">
        <v>99</v>
      </c>
      <c r="L4" s="29" t="s">
        <v>226</v>
      </c>
      <c r="M4" s="29" t="s">
        <v>227</v>
      </c>
      <c r="N4" s="29" t="s">
        <v>228</v>
      </c>
      <c r="O4" s="6"/>
      <c r="P4" s="6"/>
      <c r="Q4" s="6"/>
      <c r="R4" s="6"/>
      <c r="S4" s="6"/>
      <c r="T4" s="6"/>
      <c r="U4" s="6"/>
      <c r="V4" s="6"/>
      <c r="W4" s="6"/>
      <c r="X4" s="6"/>
    </row>
    <row r="5" spans="1:24">
      <c r="A5" s="29">
        <v>2</v>
      </c>
      <c r="B5" s="29" t="s">
        <v>59</v>
      </c>
      <c r="C5" s="29" t="s">
        <v>20</v>
      </c>
      <c r="D5" s="29" t="s">
        <v>60</v>
      </c>
      <c r="E5" s="29" t="s">
        <v>229</v>
      </c>
      <c r="F5" s="29" t="s">
        <v>230</v>
      </c>
      <c r="G5" s="29" t="s">
        <v>231</v>
      </c>
      <c r="H5" s="29" t="s">
        <v>232</v>
      </c>
      <c r="I5" s="29" t="s">
        <v>106</v>
      </c>
      <c r="J5" s="29" t="s">
        <v>113</v>
      </c>
      <c r="K5" s="29" t="s">
        <v>120</v>
      </c>
      <c r="L5" s="29" t="s">
        <v>233</v>
      </c>
      <c r="M5" s="29" t="s">
        <v>234</v>
      </c>
      <c r="N5" s="29" t="s">
        <v>235</v>
      </c>
      <c r="O5" s="6"/>
      <c r="P5" s="6"/>
      <c r="Q5" s="6"/>
      <c r="R5" s="6"/>
      <c r="S5" s="6"/>
      <c r="T5" s="6"/>
      <c r="U5" s="6"/>
      <c r="V5" s="6"/>
      <c r="W5" s="6"/>
      <c r="X5" s="6"/>
    </row>
    <row r="6" spans="1:24">
      <c r="A6" s="29">
        <v>3</v>
      </c>
      <c r="B6" s="29" t="s">
        <v>61</v>
      </c>
      <c r="C6" s="29" t="s">
        <v>21</v>
      </c>
      <c r="D6" s="29" t="s">
        <v>58</v>
      </c>
      <c r="E6" s="29" t="s">
        <v>236</v>
      </c>
      <c r="F6" s="29" t="s">
        <v>237</v>
      </c>
      <c r="G6" s="29" t="s">
        <v>238</v>
      </c>
      <c r="H6" s="29" t="s">
        <v>239</v>
      </c>
      <c r="I6" s="29" t="s">
        <v>126</v>
      </c>
      <c r="J6" s="29" t="s">
        <v>132</v>
      </c>
      <c r="K6" s="29" t="s">
        <v>136</v>
      </c>
      <c r="L6" s="29" t="s">
        <v>240</v>
      </c>
      <c r="M6" s="29" t="s">
        <v>241</v>
      </c>
      <c r="N6" s="29" t="s">
        <v>242</v>
      </c>
      <c r="O6" s="6"/>
      <c r="P6" s="6"/>
      <c r="Q6" s="6"/>
      <c r="R6" s="6"/>
      <c r="S6" s="6"/>
      <c r="T6" s="6"/>
      <c r="U6" s="6"/>
      <c r="V6" s="6"/>
      <c r="W6" s="6"/>
      <c r="X6" s="6"/>
    </row>
    <row r="7" spans="1:24">
      <c r="A7" s="29">
        <v>4</v>
      </c>
      <c r="B7" s="29" t="s">
        <v>62</v>
      </c>
      <c r="C7" s="29" t="s">
        <v>22</v>
      </c>
      <c r="D7" s="29" t="s">
        <v>33</v>
      </c>
      <c r="E7" s="29" t="s">
        <v>243</v>
      </c>
      <c r="F7" s="29" t="s">
        <v>243</v>
      </c>
      <c r="G7" s="29" t="s">
        <v>244</v>
      </c>
      <c r="H7" s="29" t="s">
        <v>245</v>
      </c>
      <c r="I7" s="29" t="s">
        <v>140</v>
      </c>
      <c r="J7" s="29" t="s">
        <v>145</v>
      </c>
      <c r="K7" s="29" t="s">
        <v>149</v>
      </c>
      <c r="L7" s="29" t="s">
        <v>246</v>
      </c>
      <c r="M7" s="29" t="s">
        <v>247</v>
      </c>
      <c r="N7" s="29" t="s">
        <v>151</v>
      </c>
      <c r="O7" s="6"/>
      <c r="P7" s="6"/>
      <c r="Q7" s="6"/>
      <c r="R7" s="6"/>
      <c r="S7" s="6"/>
      <c r="T7" s="6"/>
      <c r="U7" s="6"/>
      <c r="V7" s="6"/>
      <c r="W7" s="6"/>
      <c r="X7" s="6"/>
    </row>
    <row r="8" spans="1:24">
      <c r="A8" s="29">
        <v>5</v>
      </c>
      <c r="B8" s="29" t="s">
        <v>63</v>
      </c>
      <c r="C8" s="29" t="s">
        <v>22</v>
      </c>
      <c r="D8" s="29" t="s">
        <v>60</v>
      </c>
      <c r="E8" s="29" t="s">
        <v>248</v>
      </c>
      <c r="F8" s="29" t="s">
        <v>249</v>
      </c>
      <c r="G8" s="29" t="s">
        <v>250</v>
      </c>
      <c r="H8" s="29" t="s">
        <v>251</v>
      </c>
      <c r="I8" s="29" t="s">
        <v>154</v>
      </c>
      <c r="J8" s="29" t="s">
        <v>158</v>
      </c>
      <c r="K8" s="29" t="s">
        <v>163</v>
      </c>
      <c r="L8" s="29" t="s">
        <v>252</v>
      </c>
      <c r="M8" s="29" t="s">
        <v>253</v>
      </c>
      <c r="N8" s="29" t="s">
        <v>254</v>
      </c>
      <c r="O8" s="6"/>
      <c r="P8" s="6"/>
      <c r="Q8" s="6"/>
      <c r="R8" s="6"/>
      <c r="S8" s="6"/>
      <c r="T8" s="6"/>
      <c r="U8" s="6"/>
      <c r="V8" s="6"/>
      <c r="W8" s="6"/>
      <c r="X8" s="6"/>
    </row>
    <row r="9" spans="1:24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</row>
    <row r="10" spans="1:24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</row>
    <row r="11" spans="1:24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</row>
    <row r="12" spans="1:24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</row>
    <row r="13" spans="1:24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</row>
    <row r="14" spans="1:24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</row>
    <row r="15" spans="1:24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</row>
    <row r="16" spans="1:24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</row>
    <row r="17" spans="1:24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</row>
    <row r="18" spans="1:24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</row>
    <row r="19" spans="1:24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</row>
    <row r="20" spans="1:24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</row>
    <row r="21" spans="1:24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</row>
    <row r="22" spans="1:24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</row>
    <row r="23" spans="1:24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</row>
    <row r="24" spans="1:24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</row>
    <row r="25" spans="1:24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</row>
    <row r="26" spans="1:24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</row>
    <row r="27" spans="1:24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</row>
    <row r="28" spans="1:24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</row>
    <row r="29" spans="1:24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</row>
    <row r="30" spans="1:24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</row>
    <row r="31" spans="1:24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</row>
    <row r="32" spans="1:24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</row>
    <row r="33" spans="1:24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</row>
    <row r="34" spans="1:24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</row>
    <row r="35" spans="1:24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</row>
    <row r="36" spans="1:24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</row>
    <row r="37" spans="1:24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</row>
    <row r="38" spans="1:24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</row>
    <row r="39" spans="1:24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</row>
    <row r="40" spans="1:24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</row>
    <row r="41" spans="1:24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</row>
    <row r="42" spans="1:24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</row>
    <row r="43" spans="1:24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</row>
    <row r="44" spans="1:2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</row>
    <row r="45" spans="1:24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</row>
    <row r="46" spans="1:24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</row>
    <row r="47" spans="1:24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</row>
    <row r="48" spans="1:24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</row>
    <row r="49" spans="1:24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</row>
    <row r="50" spans="1:24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</row>
    <row r="51" spans="1:24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</row>
    <row r="52" spans="1:24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</row>
    <row r="53" spans="1:24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</row>
    <row r="54" spans="1:2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</row>
    <row r="55" spans="1:24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</row>
    <row r="56" spans="1:24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</row>
    <row r="57" spans="1:24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</row>
    <row r="58" spans="1:24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</row>
    <row r="59" spans="1:24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</row>
    <row r="60" spans="1:24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</row>
    <row r="61" spans="1:24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</row>
    <row r="62" spans="1:24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</row>
    <row r="63" spans="1:24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</row>
    <row r="64" spans="1:2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</row>
    <row r="65" spans="1:24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</row>
    <row r="66" spans="1:24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</row>
    <row r="67" spans="1:24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</row>
    <row r="68" spans="1:24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</row>
    <row r="69" spans="1:24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</row>
    <row r="70" spans="1:24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</row>
    <row r="71" spans="1:24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</row>
    <row r="72" spans="1:24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</row>
    <row r="73" spans="1:24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</row>
    <row r="74" spans="1:2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</row>
    <row r="75" spans="1:24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</row>
    <row r="76" spans="1:24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</row>
    <row r="77" spans="1:24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</row>
    <row r="78" spans="1:24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</row>
    <row r="79" spans="1:24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</row>
    <row r="80" spans="1:24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</row>
    <row r="81" spans="1:24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</row>
    <row r="82" spans="1:24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</row>
    <row r="83" spans="1:24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</row>
    <row r="84" spans="1:2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</row>
    <row r="85" spans="1:24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</row>
    <row r="86" spans="1:24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</row>
    <row r="87" spans="1:24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</row>
    <row r="88" spans="1:24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</row>
    <row r="89" spans="1:24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</row>
    <row r="90" spans="1:24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</row>
    <row r="91" spans="1:24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</row>
    <row r="92" spans="1:24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</row>
    <row r="93" spans="1:24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</row>
    <row r="94" spans="1:2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</row>
    <row r="95" spans="1:24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</row>
    <row r="96" spans="1:24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</row>
    <row r="97" spans="1:24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</row>
    <row r="98" spans="1:24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</row>
    <row r="99" spans="1:24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</row>
    <row r="100" spans="1:24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</row>
    <row r="101" spans="1:24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</row>
    <row r="102" spans="1:24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</row>
    <row r="103" spans="1:24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</row>
    <row r="104" spans="1:2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</row>
    <row r="105" spans="1:24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</row>
    <row r="106" spans="1:24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</row>
    <row r="107" spans="1:24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</row>
    <row r="108" spans="1:24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</row>
    <row r="109" spans="1:24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</row>
    <row r="110" spans="1:24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</row>
    <row r="111" spans="1:24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</row>
    <row r="112" spans="1:24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</row>
    <row r="113" spans="1:24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</row>
    <row r="114" spans="1:2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</row>
    <row r="115" spans="1:24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</row>
    <row r="116" spans="1:24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</row>
    <row r="117" spans="1:24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</row>
    <row r="118" spans="1:24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</row>
    <row r="119" spans="1:24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</row>
    <row r="120" spans="1:24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</row>
    <row r="121" spans="1:24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</row>
    <row r="122" spans="1:24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</row>
    <row r="123" spans="1:24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</row>
    <row r="124" spans="1: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</row>
    <row r="125" spans="1:24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</row>
    <row r="126" spans="1:24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</row>
    <row r="127" spans="1:24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</row>
    <row r="128" spans="1:24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</row>
    <row r="129" spans="1:24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</row>
    <row r="130" spans="1:24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</row>
    <row r="131" spans="1:24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</row>
    <row r="132" spans="1:24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</row>
    <row r="133" spans="1:24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</row>
    <row r="134" spans="1:2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</row>
    <row r="135" spans="1:24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</row>
    <row r="136" spans="1:24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</row>
    <row r="137" spans="1:24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</row>
    <row r="138" spans="1:24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</row>
    <row r="139" spans="1:24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</row>
    <row r="140" spans="1:24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</row>
    <row r="141" spans="1:24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</row>
    <row r="142" spans="1:24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</row>
    <row r="143" spans="1:24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</row>
    <row r="144" spans="1:2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</row>
    <row r="145" spans="1:24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</row>
    <row r="146" spans="1:24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</row>
    <row r="147" spans="1:24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</row>
    <row r="148" spans="1:24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</row>
    <row r="149" spans="1:24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</row>
    <row r="150" spans="1:24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</row>
    <row r="151" spans="1:24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</row>
    <row r="152" spans="1:24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</row>
    <row r="153" spans="1:24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</row>
    <row r="154" spans="1:2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</row>
    <row r="155" spans="1:24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</row>
    <row r="156" spans="1:24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</row>
    <row r="157" spans="1:24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</row>
    <row r="158" spans="1:24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</row>
    <row r="159" spans="1:24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</row>
    <row r="160" spans="1:24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</row>
    <row r="161" spans="1:24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</row>
    <row r="162" spans="1:24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</row>
    <row r="163" spans="1:24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</row>
    <row r="164" spans="1:2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</row>
    <row r="165" spans="1:24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</row>
    <row r="166" spans="1:24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</row>
    <row r="167" spans="1:24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</row>
    <row r="168" spans="1:24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</row>
    <row r="169" spans="1:24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</row>
    <row r="170" spans="1:24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</row>
    <row r="171" spans="1:24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</row>
    <row r="172" spans="1:24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</row>
    <row r="173" spans="1:24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</row>
    <row r="174" spans="1:2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</row>
    <row r="175" spans="1:24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</row>
    <row r="176" spans="1:24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</row>
    <row r="177" spans="1:24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</row>
    <row r="178" spans="1:24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</row>
    <row r="179" spans="1:24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</row>
    <row r="180" spans="1:24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</row>
    <row r="181" spans="1:24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</row>
    <row r="182" spans="1:24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</row>
    <row r="183" spans="1:24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</row>
    <row r="184" spans="1:2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</row>
    <row r="185" spans="1:24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</row>
    <row r="186" spans="1:24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</row>
    <row r="187" spans="1:24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</row>
    <row r="188" spans="1:24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</row>
    <row r="189" spans="1:24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</row>
    <row r="190" spans="1:24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</row>
    <row r="191" spans="1:24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</row>
    <row r="192" spans="1:24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</row>
    <row r="193" spans="1:24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</row>
    <row r="194" spans="1:2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</row>
    <row r="195" spans="1:24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</row>
    <row r="196" spans="1:24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</row>
    <row r="197" spans="1:24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</row>
    <row r="198" spans="1:24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</row>
    <row r="199" spans="1:24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</row>
    <row r="200" spans="1:24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</row>
    <row r="201" spans="1:24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</row>
    <row r="202" spans="1:24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S81"/>
  <sheetViews>
    <sheetView workbookViewId="0">
      <selection activeCell="A1" sqref="A1"/>
    </sheetView>
  </sheetViews>
  <sheetFormatPr defaultColWidth="14" defaultRowHeight="15.2"/>
  <cols>
    <col min="2" max="2" width="14" customWidth="1"/>
    <col min="4" max="4" width="14" customWidth="1"/>
    <col min="8" max="10" width="14" customWidth="1"/>
  </cols>
  <sheetData>
    <row r="1" ht="16" spans="1:19">
      <c r="A1" s="11" t="s">
        <v>39</v>
      </c>
      <c r="B1" s="19" t="s">
        <v>46</v>
      </c>
      <c r="C1" s="19" t="s">
        <v>47</v>
      </c>
      <c r="D1" s="19" t="s">
        <v>48</v>
      </c>
      <c r="E1" s="2" t="s">
        <v>49</v>
      </c>
      <c r="F1" s="2" t="s">
        <v>50</v>
      </c>
      <c r="G1" s="2" t="s">
        <v>51</v>
      </c>
      <c r="J1" s="1" t="s">
        <v>255</v>
      </c>
      <c r="K1" s="20" t="s">
        <v>46</v>
      </c>
      <c r="L1" s="20" t="s">
        <v>47</v>
      </c>
      <c r="M1" s="20" t="s">
        <v>48</v>
      </c>
      <c r="P1" s="1" t="s">
        <v>256</v>
      </c>
      <c r="Q1" s="21" t="s">
        <v>46</v>
      </c>
      <c r="R1" s="21" t="s">
        <v>47</v>
      </c>
      <c r="S1" s="21" t="s">
        <v>48</v>
      </c>
    </row>
    <row r="2" ht="15.6" spans="1:19">
      <c r="A2" s="12">
        <v>1</v>
      </c>
      <c r="B2" s="22">
        <f t="shared" ref="B2:B65" si="0">100+(A2-1)*40</f>
        <v>100</v>
      </c>
      <c r="C2" s="22">
        <f>500+(A2-1)*50</f>
        <v>500</v>
      </c>
      <c r="D2" s="23">
        <f t="shared" ref="D2:D65" si="1">2000+(A2-1)*200</f>
        <v>2000</v>
      </c>
      <c r="E2" s="18">
        <v>0.4</v>
      </c>
      <c r="F2" s="1">
        <v>2</v>
      </c>
      <c r="G2" s="1">
        <v>1</v>
      </c>
      <c r="H2" s="6"/>
      <c r="J2" s="24" t="s">
        <v>257</v>
      </c>
      <c r="K2" s="25">
        <v>0.453648915187377</v>
      </c>
      <c r="L2" s="25">
        <v>0.70935960591133</v>
      </c>
      <c r="M2" s="25">
        <v>1.04237671542754</v>
      </c>
      <c r="P2" s="26" t="s">
        <v>63</v>
      </c>
      <c r="Q2" s="25">
        <v>0.453648915187377</v>
      </c>
      <c r="R2" s="25">
        <v>0.70935960591133</v>
      </c>
      <c r="S2" s="25">
        <v>1.04237671542754</v>
      </c>
    </row>
    <row r="3" ht="15.6" spans="1:19">
      <c r="A3" s="1">
        <v>2</v>
      </c>
      <c r="B3" s="22">
        <f t="shared" si="0"/>
        <v>140</v>
      </c>
      <c r="C3" s="22">
        <f t="shared" ref="C3:C66" si="2">500+(A3-1)*11.02</f>
        <v>511.02</v>
      </c>
      <c r="D3" s="23">
        <f t="shared" si="1"/>
        <v>2200</v>
      </c>
      <c r="E3" s="1">
        <v>0.4</v>
      </c>
      <c r="F3" s="1">
        <v>2</v>
      </c>
      <c r="G3" s="1">
        <v>1</v>
      </c>
      <c r="I3" s="17"/>
      <c r="J3" s="24" t="s">
        <v>258</v>
      </c>
      <c r="K3" s="25">
        <v>0.58974358974359</v>
      </c>
      <c r="L3" s="25">
        <v>0.70935960591133</v>
      </c>
      <c r="M3" s="25">
        <v>0.677544865027899</v>
      </c>
      <c r="P3" s="26" t="s">
        <v>62</v>
      </c>
      <c r="Q3" s="25">
        <v>0.58974358974359</v>
      </c>
      <c r="R3" s="25">
        <v>0.70935960591133</v>
      </c>
      <c r="S3" s="25">
        <v>0.677544865027899</v>
      </c>
    </row>
    <row r="4" ht="15.6" spans="1:19">
      <c r="A4" s="1">
        <v>3</v>
      </c>
      <c r="B4" s="22">
        <f t="shared" si="0"/>
        <v>180</v>
      </c>
      <c r="C4" s="22">
        <f t="shared" si="2"/>
        <v>522.04</v>
      </c>
      <c r="D4" s="23">
        <f t="shared" si="1"/>
        <v>2400</v>
      </c>
      <c r="E4" s="1">
        <v>0.4</v>
      </c>
      <c r="F4" s="1">
        <v>2</v>
      </c>
      <c r="G4" s="1">
        <v>1</v>
      </c>
      <c r="H4" s="17"/>
      <c r="I4" s="17"/>
      <c r="J4" s="24" t="s">
        <v>259</v>
      </c>
      <c r="K4" s="25">
        <v>0.581459566074951</v>
      </c>
      <c r="L4" s="25">
        <v>0.94679802955665</v>
      </c>
      <c r="M4" s="25">
        <v>0.618289850701252</v>
      </c>
      <c r="P4" s="27" t="s">
        <v>61</v>
      </c>
      <c r="Q4" s="25">
        <v>1.2</v>
      </c>
      <c r="R4" s="25">
        <v>1.2</v>
      </c>
      <c r="S4" s="25">
        <v>0.74</v>
      </c>
    </row>
    <row r="5" ht="15.6" spans="1:19">
      <c r="A5" s="1">
        <v>4</v>
      </c>
      <c r="B5" s="22">
        <f t="shared" si="0"/>
        <v>220</v>
      </c>
      <c r="C5" s="22">
        <f t="shared" si="2"/>
        <v>533.06</v>
      </c>
      <c r="D5" s="23">
        <f t="shared" si="1"/>
        <v>2600</v>
      </c>
      <c r="E5" s="1">
        <v>0.4</v>
      </c>
      <c r="F5" s="1">
        <v>2</v>
      </c>
      <c r="G5" s="1">
        <v>1</v>
      </c>
      <c r="H5" s="17"/>
      <c r="I5" s="17"/>
      <c r="J5" s="24" t="s">
        <v>260</v>
      </c>
      <c r="K5" s="25">
        <v>0.605522682445759</v>
      </c>
      <c r="L5" s="25">
        <v>1.01896551724138</v>
      </c>
      <c r="M5" s="25">
        <v>1.5218700045242</v>
      </c>
      <c r="P5" s="26" t="s">
        <v>59</v>
      </c>
      <c r="Q5" s="25">
        <v>0.757396449704142</v>
      </c>
      <c r="R5" s="25">
        <v>1.32857142857143</v>
      </c>
      <c r="S5" s="25">
        <v>2.00136329362087</v>
      </c>
    </row>
    <row r="6" ht="15.6" spans="1:19">
      <c r="A6" s="1">
        <v>5</v>
      </c>
      <c r="B6" s="22">
        <f t="shared" si="0"/>
        <v>260</v>
      </c>
      <c r="C6" s="22">
        <f t="shared" si="2"/>
        <v>544.08</v>
      </c>
      <c r="D6" s="23">
        <f t="shared" si="1"/>
        <v>2800</v>
      </c>
      <c r="E6" s="1">
        <v>0.4</v>
      </c>
      <c r="F6" s="1">
        <v>2</v>
      </c>
      <c r="G6" s="1">
        <v>1</v>
      </c>
      <c r="H6" s="17"/>
      <c r="I6" s="17"/>
      <c r="J6" s="24" t="s">
        <v>261</v>
      </c>
      <c r="K6" s="25">
        <v>0.938856015779093</v>
      </c>
      <c r="L6" s="25">
        <v>1.05012315270936</v>
      </c>
      <c r="M6" s="25">
        <v>1.05454079324385</v>
      </c>
      <c r="P6" s="27" t="s">
        <v>57</v>
      </c>
      <c r="Q6" s="25">
        <v>1.81854043392505</v>
      </c>
      <c r="R6" s="25">
        <v>1.45320197044335</v>
      </c>
      <c r="S6" s="25">
        <v>0.861710149298748</v>
      </c>
    </row>
    <row r="7" ht="15.6" spans="1:19">
      <c r="A7" s="1">
        <v>6</v>
      </c>
      <c r="B7" s="22">
        <f t="shared" si="0"/>
        <v>300</v>
      </c>
      <c r="C7" s="22">
        <f t="shared" si="2"/>
        <v>555.1</v>
      </c>
      <c r="D7" s="23">
        <f t="shared" si="1"/>
        <v>3000</v>
      </c>
      <c r="E7" s="1">
        <v>0.4</v>
      </c>
      <c r="F7" s="1">
        <v>2</v>
      </c>
      <c r="G7" s="1">
        <v>1</v>
      </c>
      <c r="H7" s="17"/>
      <c r="I7" s="17"/>
      <c r="J7" s="24" t="s">
        <v>262</v>
      </c>
      <c r="K7" s="25">
        <v>1.2</v>
      </c>
      <c r="L7" s="25">
        <v>1.2</v>
      </c>
      <c r="M7" s="25">
        <v>0.74</v>
      </c>
    </row>
    <row r="8" ht="15.6" spans="1:19">
      <c r="A8" s="1">
        <v>7</v>
      </c>
      <c r="B8" s="22">
        <f t="shared" si="0"/>
        <v>340</v>
      </c>
      <c r="C8" s="22">
        <f t="shared" si="2"/>
        <v>566.12</v>
      </c>
      <c r="D8" s="23">
        <f t="shared" si="1"/>
        <v>3200</v>
      </c>
      <c r="E8" s="1">
        <v>0.4</v>
      </c>
      <c r="F8" s="1">
        <v>2</v>
      </c>
      <c r="G8" s="1">
        <v>1</v>
      </c>
      <c r="H8" s="17"/>
      <c r="I8" s="17"/>
      <c r="J8" s="24" t="s">
        <v>263</v>
      </c>
      <c r="K8" s="25">
        <v>0.757396449704142</v>
      </c>
      <c r="L8" s="25">
        <v>1.32857142857143</v>
      </c>
      <c r="M8" s="25">
        <v>2.00136329362087</v>
      </c>
      <c r="O8" s="6"/>
      <c r="P8" s="6"/>
      <c r="Q8" s="6"/>
      <c r="R8" s="6"/>
      <c r="S8" s="6"/>
    </row>
    <row r="9" ht="15.6" spans="1:19">
      <c r="A9" s="1">
        <v>8</v>
      </c>
      <c r="B9" s="22">
        <f t="shared" si="0"/>
        <v>380</v>
      </c>
      <c r="C9" s="22">
        <f t="shared" si="2"/>
        <v>577.14</v>
      </c>
      <c r="D9" s="23">
        <f t="shared" si="1"/>
        <v>3400</v>
      </c>
      <c r="E9" s="1">
        <v>0.4</v>
      </c>
      <c r="F9" s="1">
        <v>2</v>
      </c>
      <c r="G9" s="1">
        <v>1</v>
      </c>
      <c r="H9" s="17"/>
      <c r="I9" s="17"/>
      <c r="J9" s="24" t="s">
        <v>264</v>
      </c>
      <c r="K9" s="25">
        <v>1.2879684418146</v>
      </c>
      <c r="L9" s="25">
        <v>1.39088669950739</v>
      </c>
      <c r="M9" s="25">
        <v>1.43153672145981</v>
      </c>
      <c r="O9" s="6"/>
      <c r="P9" s="14"/>
      <c r="Q9" s="28"/>
      <c r="R9" s="28"/>
      <c r="S9" s="28"/>
    </row>
    <row r="10" ht="15.6" spans="1:19">
      <c r="A10" s="1">
        <v>9</v>
      </c>
      <c r="B10" s="22">
        <f t="shared" si="0"/>
        <v>420</v>
      </c>
      <c r="C10" s="22">
        <f t="shared" si="2"/>
        <v>588.16</v>
      </c>
      <c r="D10" s="23">
        <f t="shared" si="1"/>
        <v>3600</v>
      </c>
      <c r="E10" s="1">
        <v>0.4</v>
      </c>
      <c r="F10" s="1">
        <v>2</v>
      </c>
      <c r="G10" s="1">
        <v>1</v>
      </c>
      <c r="J10" s="24" t="s">
        <v>265</v>
      </c>
      <c r="K10" s="25">
        <v>1.81854043392505</v>
      </c>
      <c r="L10" s="25">
        <v>1.45320197044335</v>
      </c>
      <c r="M10" s="25">
        <v>0.861710149298748</v>
      </c>
      <c r="O10" s="6"/>
      <c r="P10" s="6"/>
      <c r="Q10" s="6"/>
      <c r="R10" s="6"/>
      <c r="S10" s="6"/>
    </row>
    <row r="11" ht="15.6" spans="1:19">
      <c r="A11" s="1">
        <v>10</v>
      </c>
      <c r="B11" s="22">
        <f t="shared" si="0"/>
        <v>460</v>
      </c>
      <c r="C11" s="22">
        <f t="shared" si="2"/>
        <v>599.18</v>
      </c>
      <c r="D11" s="23">
        <f t="shared" si="1"/>
        <v>3800</v>
      </c>
      <c r="E11" s="1">
        <v>0.4</v>
      </c>
      <c r="F11" s="1">
        <v>2</v>
      </c>
      <c r="G11" s="1">
        <v>1</v>
      </c>
    </row>
    <row r="12" ht="15.6" spans="1:19">
      <c r="A12" s="1">
        <v>11</v>
      </c>
      <c r="B12" s="22">
        <f t="shared" si="0"/>
        <v>500</v>
      </c>
      <c r="C12" s="22">
        <f t="shared" si="2"/>
        <v>610.2</v>
      </c>
      <c r="D12" s="23">
        <f t="shared" si="1"/>
        <v>4000</v>
      </c>
      <c r="E12" s="1">
        <v>0.4</v>
      </c>
      <c r="F12" s="1">
        <v>2</v>
      </c>
      <c r="G12" s="1">
        <v>1</v>
      </c>
    </row>
    <row r="13" ht="15.6" spans="1:19">
      <c r="A13" s="1">
        <v>12</v>
      </c>
      <c r="B13" s="22">
        <f t="shared" si="0"/>
        <v>540</v>
      </c>
      <c r="C13" s="22">
        <f t="shared" si="2"/>
        <v>621.22</v>
      </c>
      <c r="D13" s="23">
        <f t="shared" si="1"/>
        <v>4200</v>
      </c>
      <c r="E13" s="1">
        <v>0.4</v>
      </c>
      <c r="F13" s="1">
        <v>2</v>
      </c>
      <c r="G13" s="1">
        <v>1</v>
      </c>
    </row>
    <row r="14" ht="15.6" spans="1:19">
      <c r="A14" s="1">
        <v>13</v>
      </c>
      <c r="B14" s="22">
        <f t="shared" si="0"/>
        <v>580</v>
      </c>
      <c r="C14" s="22">
        <f t="shared" si="2"/>
        <v>632.24</v>
      </c>
      <c r="D14" s="23">
        <f t="shared" si="1"/>
        <v>4400</v>
      </c>
      <c r="E14" s="1">
        <v>0.4</v>
      </c>
      <c r="F14" s="1">
        <v>2</v>
      </c>
      <c r="G14" s="1">
        <v>1</v>
      </c>
    </row>
    <row r="15" ht="15.6" spans="1:19">
      <c r="A15" s="1">
        <v>14</v>
      </c>
      <c r="B15" s="22">
        <f t="shared" si="0"/>
        <v>620</v>
      </c>
      <c r="C15" s="22">
        <f t="shared" si="2"/>
        <v>643.26</v>
      </c>
      <c r="D15" s="23">
        <f t="shared" si="1"/>
        <v>4600</v>
      </c>
      <c r="E15" s="1">
        <v>0.4</v>
      </c>
      <c r="F15" s="1">
        <v>2</v>
      </c>
      <c r="G15" s="1">
        <v>1</v>
      </c>
    </row>
    <row r="16" ht="15.6" spans="1:19">
      <c r="A16" s="1">
        <v>15</v>
      </c>
      <c r="B16" s="22">
        <f t="shared" si="0"/>
        <v>660</v>
      </c>
      <c r="C16" s="22">
        <f t="shared" si="2"/>
        <v>654.28</v>
      </c>
      <c r="D16" s="23">
        <f t="shared" si="1"/>
        <v>4800</v>
      </c>
      <c r="E16" s="1">
        <v>0.4</v>
      </c>
      <c r="F16" s="1">
        <v>2</v>
      </c>
      <c r="G16" s="1">
        <v>1</v>
      </c>
    </row>
    <row r="17" ht="15.6" spans="1:7">
      <c r="A17" s="1">
        <v>16</v>
      </c>
      <c r="B17" s="22">
        <f t="shared" si="0"/>
        <v>700</v>
      </c>
      <c r="C17" s="22">
        <f t="shared" si="2"/>
        <v>665.3</v>
      </c>
      <c r="D17" s="23">
        <f t="shared" si="1"/>
        <v>5000</v>
      </c>
      <c r="E17" s="1">
        <v>0.4</v>
      </c>
      <c r="F17" s="1">
        <v>2</v>
      </c>
      <c r="G17" s="1">
        <v>1</v>
      </c>
    </row>
    <row r="18" ht="15.6" spans="1:7">
      <c r="A18" s="1">
        <v>17</v>
      </c>
      <c r="B18" s="22">
        <f t="shared" si="0"/>
        <v>740</v>
      </c>
      <c r="C18" s="22">
        <f t="shared" si="2"/>
        <v>676.32</v>
      </c>
      <c r="D18" s="23">
        <f t="shared" si="1"/>
        <v>5200</v>
      </c>
      <c r="E18" s="1">
        <v>0.4</v>
      </c>
      <c r="F18" s="1">
        <v>2</v>
      </c>
      <c r="G18" s="1">
        <v>1</v>
      </c>
    </row>
    <row r="19" ht="15.6" spans="1:7">
      <c r="A19" s="1">
        <v>18</v>
      </c>
      <c r="B19" s="22">
        <f t="shared" si="0"/>
        <v>780</v>
      </c>
      <c r="C19" s="22">
        <f t="shared" si="2"/>
        <v>687.34</v>
      </c>
      <c r="D19" s="23">
        <f t="shared" si="1"/>
        <v>5400</v>
      </c>
      <c r="E19" s="1">
        <v>0.4</v>
      </c>
      <c r="F19" s="1">
        <v>2</v>
      </c>
      <c r="G19" s="1">
        <v>1</v>
      </c>
    </row>
    <row r="20" ht="15.6" spans="1:7">
      <c r="A20" s="1">
        <v>19</v>
      </c>
      <c r="B20" s="22">
        <f t="shared" si="0"/>
        <v>820</v>
      </c>
      <c r="C20" s="22">
        <f t="shared" si="2"/>
        <v>698.36</v>
      </c>
      <c r="D20" s="23">
        <f t="shared" si="1"/>
        <v>5600</v>
      </c>
      <c r="E20" s="1">
        <v>0.4</v>
      </c>
      <c r="F20" s="1">
        <v>2</v>
      </c>
      <c r="G20" s="1">
        <v>1</v>
      </c>
    </row>
    <row r="21" ht="15.6" spans="1:7">
      <c r="A21" s="1">
        <v>20</v>
      </c>
      <c r="B21" s="22">
        <f t="shared" si="0"/>
        <v>860</v>
      </c>
      <c r="C21" s="22">
        <f t="shared" si="2"/>
        <v>709.38</v>
      </c>
      <c r="D21" s="23">
        <f t="shared" si="1"/>
        <v>5800</v>
      </c>
      <c r="E21" s="1">
        <v>0.4</v>
      </c>
      <c r="F21" s="1">
        <v>2</v>
      </c>
      <c r="G21" s="1">
        <v>1</v>
      </c>
    </row>
    <row r="22" ht="15.6" spans="1:7">
      <c r="A22" s="1">
        <v>21</v>
      </c>
      <c r="B22" s="22">
        <f t="shared" si="0"/>
        <v>900</v>
      </c>
      <c r="C22" s="22">
        <f t="shared" si="2"/>
        <v>720.4</v>
      </c>
      <c r="D22" s="23">
        <f t="shared" si="1"/>
        <v>6000</v>
      </c>
      <c r="E22" s="1">
        <v>0.4</v>
      </c>
      <c r="F22" s="1">
        <v>2</v>
      </c>
      <c r="G22" s="1">
        <v>1</v>
      </c>
    </row>
    <row r="23" ht="15.6" spans="1:7">
      <c r="A23" s="1">
        <v>22</v>
      </c>
      <c r="B23" s="22">
        <f t="shared" si="0"/>
        <v>940</v>
      </c>
      <c r="C23" s="22">
        <f t="shared" si="2"/>
        <v>731.42</v>
      </c>
      <c r="D23" s="23">
        <f t="shared" si="1"/>
        <v>6200</v>
      </c>
      <c r="E23" s="1">
        <v>0.4</v>
      </c>
      <c r="F23" s="1">
        <v>2</v>
      </c>
      <c r="G23" s="1">
        <v>1</v>
      </c>
    </row>
    <row r="24" ht="15.6" spans="1:7">
      <c r="A24" s="1">
        <v>23</v>
      </c>
      <c r="B24" s="22">
        <f t="shared" si="0"/>
        <v>980</v>
      </c>
      <c r="C24" s="22">
        <f t="shared" si="2"/>
        <v>742.44</v>
      </c>
      <c r="D24" s="23">
        <f t="shared" si="1"/>
        <v>6400</v>
      </c>
      <c r="E24" s="1">
        <v>0.4</v>
      </c>
      <c r="F24" s="1">
        <v>2</v>
      </c>
      <c r="G24" s="1">
        <v>1</v>
      </c>
    </row>
    <row r="25" ht="15.6" spans="1:7">
      <c r="A25" s="1">
        <v>24</v>
      </c>
      <c r="B25" s="22">
        <f t="shared" si="0"/>
        <v>1020</v>
      </c>
      <c r="C25" s="22">
        <f t="shared" si="2"/>
        <v>753.46</v>
      </c>
      <c r="D25" s="23">
        <f t="shared" si="1"/>
        <v>6600</v>
      </c>
      <c r="E25" s="1">
        <v>0.4</v>
      </c>
      <c r="F25" s="1">
        <v>2</v>
      </c>
      <c r="G25" s="1">
        <v>1</v>
      </c>
    </row>
    <row r="26" ht="15.6" spans="1:7">
      <c r="A26" s="1">
        <v>25</v>
      </c>
      <c r="B26" s="22">
        <f t="shared" si="0"/>
        <v>1060</v>
      </c>
      <c r="C26" s="22">
        <f t="shared" si="2"/>
        <v>764.48</v>
      </c>
      <c r="D26" s="23">
        <f t="shared" si="1"/>
        <v>6800</v>
      </c>
      <c r="E26" s="1">
        <v>0.4</v>
      </c>
      <c r="F26" s="1">
        <v>2</v>
      </c>
      <c r="G26" s="1">
        <v>1</v>
      </c>
    </row>
    <row r="27" ht="15.6" spans="1:7">
      <c r="A27" s="1">
        <v>26</v>
      </c>
      <c r="B27" s="22">
        <f t="shared" si="0"/>
        <v>1100</v>
      </c>
      <c r="C27" s="22">
        <f t="shared" si="2"/>
        <v>775.5</v>
      </c>
      <c r="D27" s="23">
        <f t="shared" si="1"/>
        <v>7000</v>
      </c>
      <c r="E27" s="1">
        <v>0.4</v>
      </c>
      <c r="F27" s="1">
        <v>2</v>
      </c>
      <c r="G27" s="1">
        <v>1</v>
      </c>
    </row>
    <row r="28" ht="15.6" spans="1:7">
      <c r="A28" s="1">
        <v>27</v>
      </c>
      <c r="B28" s="22">
        <f t="shared" si="0"/>
        <v>1140</v>
      </c>
      <c r="C28" s="22">
        <f t="shared" si="2"/>
        <v>786.52</v>
      </c>
      <c r="D28" s="23">
        <f t="shared" si="1"/>
        <v>7200</v>
      </c>
      <c r="E28" s="1">
        <v>0.4</v>
      </c>
      <c r="F28" s="1">
        <v>2</v>
      </c>
      <c r="G28" s="1">
        <v>1</v>
      </c>
    </row>
    <row r="29" ht="15.6" spans="1:7">
      <c r="A29" s="1">
        <v>28</v>
      </c>
      <c r="B29" s="22">
        <f t="shared" si="0"/>
        <v>1180</v>
      </c>
      <c r="C29" s="22">
        <f t="shared" si="2"/>
        <v>797.54</v>
      </c>
      <c r="D29" s="23">
        <f t="shared" si="1"/>
        <v>7400</v>
      </c>
      <c r="E29" s="1">
        <v>0.4</v>
      </c>
      <c r="F29" s="1">
        <v>2</v>
      </c>
      <c r="G29" s="1">
        <v>1</v>
      </c>
    </row>
    <row r="30" ht="15.6" spans="1:7">
      <c r="A30" s="1">
        <v>29</v>
      </c>
      <c r="B30" s="22">
        <f t="shared" si="0"/>
        <v>1220</v>
      </c>
      <c r="C30" s="22">
        <f t="shared" si="2"/>
        <v>808.56</v>
      </c>
      <c r="D30" s="23">
        <f t="shared" si="1"/>
        <v>7600</v>
      </c>
      <c r="E30" s="1">
        <v>0.4</v>
      </c>
      <c r="F30" s="1">
        <v>2</v>
      </c>
      <c r="G30" s="1">
        <v>1</v>
      </c>
    </row>
    <row r="31" ht="15.6" spans="1:7">
      <c r="A31" s="1">
        <v>30</v>
      </c>
      <c r="B31" s="22">
        <f t="shared" si="0"/>
        <v>1260</v>
      </c>
      <c r="C31" s="22">
        <f t="shared" si="2"/>
        <v>819.58</v>
      </c>
      <c r="D31" s="23">
        <f t="shared" si="1"/>
        <v>7800</v>
      </c>
      <c r="E31" s="1">
        <v>0.4</v>
      </c>
      <c r="F31" s="1">
        <v>2</v>
      </c>
      <c r="G31" s="1">
        <v>1</v>
      </c>
    </row>
    <row r="32" ht="15.6" spans="1:7">
      <c r="A32" s="1">
        <v>31</v>
      </c>
      <c r="B32" s="22">
        <f t="shared" si="0"/>
        <v>1300</v>
      </c>
      <c r="C32" s="22">
        <f t="shared" si="2"/>
        <v>830.6</v>
      </c>
      <c r="D32" s="23">
        <f t="shared" si="1"/>
        <v>8000</v>
      </c>
      <c r="E32" s="1">
        <v>0.4</v>
      </c>
      <c r="F32" s="1">
        <v>2</v>
      </c>
      <c r="G32" s="1">
        <v>1</v>
      </c>
    </row>
    <row r="33" ht="15.6" spans="1:7">
      <c r="A33" s="1">
        <v>32</v>
      </c>
      <c r="B33" s="22">
        <f t="shared" si="0"/>
        <v>1340</v>
      </c>
      <c r="C33" s="22">
        <f t="shared" si="2"/>
        <v>841.62</v>
      </c>
      <c r="D33" s="23">
        <f t="shared" si="1"/>
        <v>8200</v>
      </c>
      <c r="E33" s="1">
        <v>0.4</v>
      </c>
      <c r="F33" s="1">
        <v>2</v>
      </c>
      <c r="G33" s="1">
        <v>1</v>
      </c>
    </row>
    <row r="34" ht="15.6" spans="1:7">
      <c r="A34" s="1">
        <v>33</v>
      </c>
      <c r="B34" s="22">
        <f t="shared" si="0"/>
        <v>1380</v>
      </c>
      <c r="C34" s="22">
        <f t="shared" si="2"/>
        <v>852.64</v>
      </c>
      <c r="D34" s="23">
        <f t="shared" si="1"/>
        <v>8400</v>
      </c>
      <c r="E34" s="1">
        <v>0.4</v>
      </c>
      <c r="F34" s="1">
        <v>2</v>
      </c>
      <c r="G34" s="1">
        <v>1</v>
      </c>
    </row>
    <row r="35" ht="15.6" spans="1:7">
      <c r="A35" s="1">
        <v>34</v>
      </c>
      <c r="B35" s="22">
        <f t="shared" si="0"/>
        <v>1420</v>
      </c>
      <c r="C35" s="22">
        <f t="shared" si="2"/>
        <v>863.66</v>
      </c>
      <c r="D35" s="23">
        <f t="shared" si="1"/>
        <v>8600</v>
      </c>
      <c r="E35" s="1">
        <v>0.4</v>
      </c>
      <c r="F35" s="1">
        <v>2</v>
      </c>
      <c r="G35" s="1">
        <v>1</v>
      </c>
    </row>
    <row r="36" ht="15.6" spans="1:7">
      <c r="A36" s="1">
        <v>35</v>
      </c>
      <c r="B36" s="22">
        <f t="shared" si="0"/>
        <v>1460</v>
      </c>
      <c r="C36" s="22">
        <f t="shared" si="2"/>
        <v>874.68</v>
      </c>
      <c r="D36" s="23">
        <f t="shared" si="1"/>
        <v>8800</v>
      </c>
      <c r="E36" s="1">
        <v>0.4</v>
      </c>
      <c r="F36" s="1">
        <v>2</v>
      </c>
      <c r="G36" s="1">
        <v>1</v>
      </c>
    </row>
    <row r="37" ht="15.6" spans="1:7">
      <c r="A37" s="1">
        <v>36</v>
      </c>
      <c r="B37" s="22">
        <f t="shared" si="0"/>
        <v>1500</v>
      </c>
      <c r="C37" s="22">
        <f t="shared" si="2"/>
        <v>885.7</v>
      </c>
      <c r="D37" s="23">
        <f t="shared" si="1"/>
        <v>9000</v>
      </c>
      <c r="E37" s="1">
        <v>0.4</v>
      </c>
      <c r="F37" s="1">
        <v>2</v>
      </c>
      <c r="G37" s="1">
        <v>1</v>
      </c>
    </row>
    <row r="38" ht="15.6" spans="1:7">
      <c r="A38" s="1">
        <v>37</v>
      </c>
      <c r="B38" s="22">
        <f t="shared" si="0"/>
        <v>1540</v>
      </c>
      <c r="C38" s="22">
        <f t="shared" si="2"/>
        <v>896.72</v>
      </c>
      <c r="D38" s="23">
        <f t="shared" si="1"/>
        <v>9200</v>
      </c>
      <c r="E38" s="1">
        <v>0.4</v>
      </c>
      <c r="F38" s="1">
        <v>2</v>
      </c>
      <c r="G38" s="1">
        <v>1</v>
      </c>
    </row>
    <row r="39" ht="15.6" spans="1:7">
      <c r="A39" s="1">
        <v>38</v>
      </c>
      <c r="B39" s="22">
        <f t="shared" si="0"/>
        <v>1580</v>
      </c>
      <c r="C39" s="22">
        <f t="shared" si="2"/>
        <v>907.74</v>
      </c>
      <c r="D39" s="23">
        <f t="shared" si="1"/>
        <v>9400</v>
      </c>
      <c r="E39" s="1">
        <v>0.4</v>
      </c>
      <c r="F39" s="1">
        <v>2</v>
      </c>
      <c r="G39" s="1">
        <v>1</v>
      </c>
    </row>
    <row r="40" ht="15.6" spans="1:7">
      <c r="A40" s="1">
        <v>39</v>
      </c>
      <c r="B40" s="22">
        <f t="shared" si="0"/>
        <v>1620</v>
      </c>
      <c r="C40" s="22">
        <f t="shared" si="2"/>
        <v>918.76</v>
      </c>
      <c r="D40" s="23">
        <f t="shared" si="1"/>
        <v>9600</v>
      </c>
      <c r="E40" s="1">
        <v>0.4</v>
      </c>
      <c r="F40" s="1">
        <v>2</v>
      </c>
      <c r="G40" s="1">
        <v>1</v>
      </c>
    </row>
    <row r="41" ht="15.6" spans="1:7">
      <c r="A41" s="1">
        <v>40</v>
      </c>
      <c r="B41" s="22">
        <f t="shared" si="0"/>
        <v>1660</v>
      </c>
      <c r="C41" s="22">
        <f t="shared" si="2"/>
        <v>929.78</v>
      </c>
      <c r="D41" s="23">
        <f t="shared" si="1"/>
        <v>9800</v>
      </c>
      <c r="E41" s="1">
        <v>0.4</v>
      </c>
      <c r="F41" s="1">
        <v>2</v>
      </c>
      <c r="G41" s="1">
        <v>1</v>
      </c>
    </row>
    <row r="42" ht="15.6" spans="1:7">
      <c r="A42" s="1">
        <v>41</v>
      </c>
      <c r="B42" s="22">
        <f t="shared" si="0"/>
        <v>1700</v>
      </c>
      <c r="C42" s="22">
        <f t="shared" si="2"/>
        <v>940.8</v>
      </c>
      <c r="D42" s="23">
        <f t="shared" si="1"/>
        <v>10000</v>
      </c>
      <c r="E42" s="1">
        <v>0.4</v>
      </c>
      <c r="F42" s="1">
        <v>2</v>
      </c>
      <c r="G42" s="1">
        <v>1</v>
      </c>
    </row>
    <row r="43" ht="15.6" spans="1:7">
      <c r="A43" s="1">
        <v>42</v>
      </c>
      <c r="B43" s="22">
        <f t="shared" si="0"/>
        <v>1740</v>
      </c>
      <c r="C43" s="22">
        <f t="shared" si="2"/>
        <v>951.82</v>
      </c>
      <c r="D43" s="23">
        <f t="shared" si="1"/>
        <v>10200</v>
      </c>
      <c r="E43" s="1">
        <v>0.4</v>
      </c>
      <c r="F43" s="1">
        <v>2</v>
      </c>
      <c r="G43" s="1">
        <v>1</v>
      </c>
    </row>
    <row r="44" ht="15.6" spans="1:7">
      <c r="A44" s="1">
        <v>43</v>
      </c>
      <c r="B44" s="22">
        <f t="shared" si="0"/>
        <v>1780</v>
      </c>
      <c r="C44" s="22">
        <f t="shared" si="2"/>
        <v>962.84</v>
      </c>
      <c r="D44" s="23">
        <f t="shared" si="1"/>
        <v>10400</v>
      </c>
      <c r="E44" s="1">
        <v>0.4</v>
      </c>
      <c r="F44" s="1">
        <v>2</v>
      </c>
      <c r="G44" s="1">
        <v>1</v>
      </c>
    </row>
    <row r="45" ht="15.6" spans="1:7">
      <c r="A45" s="1">
        <v>44</v>
      </c>
      <c r="B45" s="22">
        <f t="shared" si="0"/>
        <v>1820</v>
      </c>
      <c r="C45" s="22">
        <f t="shared" si="2"/>
        <v>973.86</v>
      </c>
      <c r="D45" s="23">
        <f t="shared" si="1"/>
        <v>10600</v>
      </c>
      <c r="E45" s="1">
        <v>0.4</v>
      </c>
      <c r="F45" s="1">
        <v>2</v>
      </c>
      <c r="G45" s="1">
        <v>1</v>
      </c>
    </row>
    <row r="46" ht="15.6" spans="1:7">
      <c r="A46" s="1">
        <v>45</v>
      </c>
      <c r="B46" s="22">
        <f t="shared" si="0"/>
        <v>1860</v>
      </c>
      <c r="C46" s="22">
        <f t="shared" si="2"/>
        <v>984.88</v>
      </c>
      <c r="D46" s="23">
        <f t="shared" si="1"/>
        <v>10800</v>
      </c>
      <c r="E46" s="1">
        <v>0.4</v>
      </c>
      <c r="F46" s="1">
        <v>2</v>
      </c>
      <c r="G46" s="1">
        <v>1</v>
      </c>
    </row>
    <row r="47" ht="15.6" spans="1:7">
      <c r="A47" s="1">
        <v>46</v>
      </c>
      <c r="B47" s="22">
        <f t="shared" si="0"/>
        <v>1900</v>
      </c>
      <c r="C47" s="22">
        <f t="shared" si="2"/>
        <v>995.9</v>
      </c>
      <c r="D47" s="23">
        <f t="shared" si="1"/>
        <v>11000</v>
      </c>
      <c r="E47" s="1">
        <v>0.4</v>
      </c>
      <c r="F47" s="1">
        <v>2</v>
      </c>
      <c r="G47" s="1">
        <v>1</v>
      </c>
    </row>
    <row r="48" ht="15.6" spans="1:7">
      <c r="A48" s="1">
        <v>47</v>
      </c>
      <c r="B48" s="22">
        <f t="shared" si="0"/>
        <v>1940</v>
      </c>
      <c r="C48" s="22">
        <f t="shared" si="2"/>
        <v>1006.92</v>
      </c>
      <c r="D48" s="23">
        <f t="shared" si="1"/>
        <v>11200</v>
      </c>
      <c r="E48" s="1">
        <v>0.4</v>
      </c>
      <c r="F48" s="1">
        <v>2</v>
      </c>
      <c r="G48" s="1">
        <v>1</v>
      </c>
    </row>
    <row r="49" ht="15.6" spans="1:7">
      <c r="A49" s="1">
        <v>48</v>
      </c>
      <c r="B49" s="22">
        <f t="shared" si="0"/>
        <v>1980</v>
      </c>
      <c r="C49" s="22">
        <f t="shared" si="2"/>
        <v>1017.94</v>
      </c>
      <c r="D49" s="23">
        <f t="shared" si="1"/>
        <v>11400</v>
      </c>
      <c r="E49" s="1">
        <v>0.4</v>
      </c>
      <c r="F49" s="1">
        <v>2</v>
      </c>
      <c r="G49" s="1">
        <v>1</v>
      </c>
    </row>
    <row r="50" ht="15.6" spans="1:7">
      <c r="A50" s="1">
        <v>49</v>
      </c>
      <c r="B50" s="22">
        <f t="shared" si="0"/>
        <v>2020</v>
      </c>
      <c r="C50" s="22">
        <f t="shared" si="2"/>
        <v>1028.96</v>
      </c>
      <c r="D50" s="23">
        <f t="shared" si="1"/>
        <v>11600</v>
      </c>
      <c r="E50" s="1">
        <v>0.4</v>
      </c>
      <c r="F50" s="1">
        <v>2</v>
      </c>
      <c r="G50" s="1">
        <v>1</v>
      </c>
    </row>
    <row r="51" ht="15.6" spans="1:7">
      <c r="A51" s="1">
        <v>50</v>
      </c>
      <c r="B51" s="22">
        <f t="shared" si="0"/>
        <v>2060</v>
      </c>
      <c r="C51" s="22">
        <f t="shared" si="2"/>
        <v>1039.98</v>
      </c>
      <c r="D51" s="23">
        <f t="shared" si="1"/>
        <v>11800</v>
      </c>
      <c r="E51" s="1">
        <v>0.4</v>
      </c>
      <c r="F51" s="1">
        <v>2</v>
      </c>
      <c r="G51" s="1">
        <v>1</v>
      </c>
    </row>
    <row r="52" ht="15.6" spans="1:7">
      <c r="A52" s="1">
        <v>51</v>
      </c>
      <c r="B52" s="22">
        <f t="shared" si="0"/>
        <v>2100</v>
      </c>
      <c r="C52" s="22">
        <f t="shared" si="2"/>
        <v>1051</v>
      </c>
      <c r="D52" s="23">
        <f t="shared" si="1"/>
        <v>12000</v>
      </c>
      <c r="E52" s="1">
        <v>0.4</v>
      </c>
      <c r="F52" s="1">
        <v>2</v>
      </c>
      <c r="G52" s="1">
        <v>1</v>
      </c>
    </row>
    <row r="53" ht="15.6" spans="1:7">
      <c r="A53" s="1">
        <v>52</v>
      </c>
      <c r="B53" s="22">
        <f t="shared" si="0"/>
        <v>2140</v>
      </c>
      <c r="C53" s="22">
        <f t="shared" si="2"/>
        <v>1062.02</v>
      </c>
      <c r="D53" s="23">
        <f t="shared" si="1"/>
        <v>12200</v>
      </c>
      <c r="E53" s="1">
        <v>0.4</v>
      </c>
      <c r="F53" s="1">
        <v>2</v>
      </c>
      <c r="G53" s="1">
        <v>1</v>
      </c>
    </row>
    <row r="54" ht="15.6" spans="1:7">
      <c r="A54" s="1">
        <v>53</v>
      </c>
      <c r="B54" s="22">
        <f t="shared" si="0"/>
        <v>2180</v>
      </c>
      <c r="C54" s="22">
        <f t="shared" si="2"/>
        <v>1073.04</v>
      </c>
      <c r="D54" s="23">
        <f t="shared" si="1"/>
        <v>12400</v>
      </c>
      <c r="E54" s="1">
        <v>0.4</v>
      </c>
      <c r="F54" s="1">
        <v>2</v>
      </c>
      <c r="G54" s="1">
        <v>1</v>
      </c>
    </row>
    <row r="55" ht="15.6" spans="1:7">
      <c r="A55" s="1">
        <v>54</v>
      </c>
      <c r="B55" s="22">
        <f t="shared" si="0"/>
        <v>2220</v>
      </c>
      <c r="C55" s="22">
        <f t="shared" si="2"/>
        <v>1084.06</v>
      </c>
      <c r="D55" s="23">
        <f t="shared" si="1"/>
        <v>12600</v>
      </c>
      <c r="E55" s="1">
        <v>0.4</v>
      </c>
      <c r="F55" s="1">
        <v>2</v>
      </c>
      <c r="G55" s="1">
        <v>1</v>
      </c>
    </row>
    <row r="56" ht="15.6" spans="1:7">
      <c r="A56" s="1">
        <v>55</v>
      </c>
      <c r="B56" s="22">
        <f t="shared" si="0"/>
        <v>2260</v>
      </c>
      <c r="C56" s="22">
        <f t="shared" si="2"/>
        <v>1095.08</v>
      </c>
      <c r="D56" s="23">
        <f t="shared" si="1"/>
        <v>12800</v>
      </c>
      <c r="E56" s="1">
        <v>0.4</v>
      </c>
      <c r="F56" s="1">
        <v>2</v>
      </c>
      <c r="G56" s="1">
        <v>1</v>
      </c>
    </row>
    <row r="57" ht="15.6" spans="1:7">
      <c r="A57" s="1">
        <v>56</v>
      </c>
      <c r="B57" s="22">
        <f t="shared" si="0"/>
        <v>2300</v>
      </c>
      <c r="C57" s="22">
        <f t="shared" si="2"/>
        <v>1106.1</v>
      </c>
      <c r="D57" s="23">
        <f t="shared" si="1"/>
        <v>13000</v>
      </c>
      <c r="E57" s="1">
        <v>0.4</v>
      </c>
      <c r="F57" s="1">
        <v>2</v>
      </c>
      <c r="G57" s="1">
        <v>1</v>
      </c>
    </row>
    <row r="58" ht="15.6" spans="1:7">
      <c r="A58" s="1">
        <v>57</v>
      </c>
      <c r="B58" s="22">
        <f t="shared" si="0"/>
        <v>2340</v>
      </c>
      <c r="C58" s="22">
        <f t="shared" si="2"/>
        <v>1117.12</v>
      </c>
      <c r="D58" s="23">
        <f t="shared" si="1"/>
        <v>13200</v>
      </c>
      <c r="E58" s="1">
        <v>0.4</v>
      </c>
      <c r="F58" s="1">
        <v>2</v>
      </c>
      <c r="G58" s="1">
        <v>1</v>
      </c>
    </row>
    <row r="59" ht="15.6" spans="1:7">
      <c r="A59" s="1">
        <v>58</v>
      </c>
      <c r="B59" s="22">
        <f t="shared" si="0"/>
        <v>2380</v>
      </c>
      <c r="C59" s="22">
        <f t="shared" si="2"/>
        <v>1128.14</v>
      </c>
      <c r="D59" s="23">
        <f t="shared" si="1"/>
        <v>13400</v>
      </c>
      <c r="E59" s="1">
        <v>0.4</v>
      </c>
      <c r="F59" s="1">
        <v>2</v>
      </c>
      <c r="G59" s="1">
        <v>1</v>
      </c>
    </row>
    <row r="60" ht="15.6" spans="1:7">
      <c r="A60" s="1">
        <v>59</v>
      </c>
      <c r="B60" s="22">
        <f t="shared" si="0"/>
        <v>2420</v>
      </c>
      <c r="C60" s="22">
        <f t="shared" si="2"/>
        <v>1139.16</v>
      </c>
      <c r="D60" s="23">
        <f t="shared" si="1"/>
        <v>13600</v>
      </c>
      <c r="E60" s="1">
        <v>0.4</v>
      </c>
      <c r="F60" s="1">
        <v>2</v>
      </c>
      <c r="G60" s="1">
        <v>1</v>
      </c>
    </row>
    <row r="61" ht="15.6" spans="1:7">
      <c r="A61" s="1">
        <v>60</v>
      </c>
      <c r="B61" s="22">
        <f t="shared" si="0"/>
        <v>2460</v>
      </c>
      <c r="C61" s="22">
        <f t="shared" si="2"/>
        <v>1150.18</v>
      </c>
      <c r="D61" s="23">
        <f t="shared" si="1"/>
        <v>13800</v>
      </c>
      <c r="E61" s="1">
        <v>0.4</v>
      </c>
      <c r="F61" s="1">
        <v>2</v>
      </c>
      <c r="G61" s="1">
        <v>1</v>
      </c>
    </row>
    <row r="62" ht="15.6" spans="1:7">
      <c r="A62" s="1">
        <v>61</v>
      </c>
      <c r="B62" s="22">
        <f t="shared" si="0"/>
        <v>2500</v>
      </c>
      <c r="C62" s="22">
        <f t="shared" si="2"/>
        <v>1161.2</v>
      </c>
      <c r="D62" s="23">
        <f t="shared" si="1"/>
        <v>14000</v>
      </c>
      <c r="E62" s="1">
        <v>0.4</v>
      </c>
      <c r="F62" s="1">
        <v>2</v>
      </c>
      <c r="G62" s="1">
        <v>1</v>
      </c>
    </row>
    <row r="63" ht="15.6" spans="1:7">
      <c r="A63" s="1">
        <v>62</v>
      </c>
      <c r="B63" s="22">
        <f t="shared" si="0"/>
        <v>2540</v>
      </c>
      <c r="C63" s="22">
        <f t="shared" si="2"/>
        <v>1172.22</v>
      </c>
      <c r="D63" s="23">
        <f t="shared" si="1"/>
        <v>14200</v>
      </c>
      <c r="E63" s="1">
        <v>0.4</v>
      </c>
      <c r="F63" s="1">
        <v>2</v>
      </c>
      <c r="G63" s="1">
        <v>1</v>
      </c>
    </row>
    <row r="64" ht="15.6" spans="1:7">
      <c r="A64" s="1">
        <v>63</v>
      </c>
      <c r="B64" s="22">
        <f t="shared" si="0"/>
        <v>2580</v>
      </c>
      <c r="C64" s="22">
        <f t="shared" si="2"/>
        <v>1183.24</v>
      </c>
      <c r="D64" s="23">
        <f t="shared" si="1"/>
        <v>14400</v>
      </c>
      <c r="E64" s="1">
        <v>0.4</v>
      </c>
      <c r="F64" s="1">
        <v>2</v>
      </c>
      <c r="G64" s="1">
        <v>1</v>
      </c>
    </row>
    <row r="65" ht="15.6" spans="1:7">
      <c r="A65" s="1">
        <v>64</v>
      </c>
      <c r="B65" s="22">
        <f t="shared" si="0"/>
        <v>2620</v>
      </c>
      <c r="C65" s="22">
        <f t="shared" si="2"/>
        <v>1194.26</v>
      </c>
      <c r="D65" s="23">
        <f t="shared" si="1"/>
        <v>14600</v>
      </c>
      <c r="E65" s="1">
        <v>0.4</v>
      </c>
      <c r="F65" s="1">
        <v>2</v>
      </c>
      <c r="G65" s="1">
        <v>1</v>
      </c>
    </row>
    <row r="66" ht="15.6" spans="1:7">
      <c r="A66" s="1">
        <v>65</v>
      </c>
      <c r="B66" s="22">
        <f t="shared" ref="B66:B81" si="3">100+(A66-1)*40</f>
        <v>2660</v>
      </c>
      <c r="C66" s="22">
        <f t="shared" si="2"/>
        <v>1205.28</v>
      </c>
      <c r="D66" s="23">
        <f t="shared" ref="D66:D81" si="4">2000+(A66-1)*200</f>
        <v>14800</v>
      </c>
      <c r="E66" s="1">
        <v>0.4</v>
      </c>
      <c r="F66" s="1">
        <v>2</v>
      </c>
      <c r="G66" s="1">
        <v>1</v>
      </c>
    </row>
    <row r="67" ht="15.6" spans="1:7">
      <c r="A67" s="1">
        <v>66</v>
      </c>
      <c r="B67" s="22">
        <f t="shared" si="3"/>
        <v>2700</v>
      </c>
      <c r="C67" s="22">
        <f t="shared" ref="C67:C81" si="5">500+(A67-1)*11.02</f>
        <v>1216.3</v>
      </c>
      <c r="D67" s="23">
        <f t="shared" si="4"/>
        <v>15000</v>
      </c>
      <c r="E67" s="1">
        <v>0.4</v>
      </c>
      <c r="F67" s="1">
        <v>2</v>
      </c>
      <c r="G67" s="1">
        <v>1</v>
      </c>
    </row>
    <row r="68" ht="15.6" spans="1:7">
      <c r="A68" s="1">
        <v>67</v>
      </c>
      <c r="B68" s="22">
        <f t="shared" si="3"/>
        <v>2740</v>
      </c>
      <c r="C68" s="22">
        <f t="shared" si="5"/>
        <v>1227.32</v>
      </c>
      <c r="D68" s="23">
        <f t="shared" si="4"/>
        <v>15200</v>
      </c>
      <c r="E68" s="1">
        <v>0.4</v>
      </c>
      <c r="F68" s="1">
        <v>2</v>
      </c>
      <c r="G68" s="1">
        <v>1</v>
      </c>
    </row>
    <row r="69" ht="15.6" spans="1:7">
      <c r="A69" s="1">
        <v>68</v>
      </c>
      <c r="B69" s="22">
        <f t="shared" si="3"/>
        <v>2780</v>
      </c>
      <c r="C69" s="22">
        <f t="shared" si="5"/>
        <v>1238.34</v>
      </c>
      <c r="D69" s="23">
        <f t="shared" si="4"/>
        <v>15400</v>
      </c>
      <c r="E69" s="1">
        <v>0.4</v>
      </c>
      <c r="F69" s="1">
        <v>2</v>
      </c>
      <c r="G69" s="1">
        <v>1</v>
      </c>
    </row>
    <row r="70" ht="15.6" spans="1:7">
      <c r="A70" s="1">
        <v>69</v>
      </c>
      <c r="B70" s="22">
        <f t="shared" si="3"/>
        <v>2820</v>
      </c>
      <c r="C70" s="22">
        <f t="shared" si="5"/>
        <v>1249.36</v>
      </c>
      <c r="D70" s="23">
        <f t="shared" si="4"/>
        <v>15600</v>
      </c>
      <c r="E70" s="1">
        <v>0.4</v>
      </c>
      <c r="F70" s="1">
        <v>2</v>
      </c>
      <c r="G70" s="1">
        <v>1</v>
      </c>
    </row>
    <row r="71" ht="15.6" spans="1:7">
      <c r="A71" s="1">
        <v>70</v>
      </c>
      <c r="B71" s="22">
        <f t="shared" si="3"/>
        <v>2860</v>
      </c>
      <c r="C71" s="22">
        <f t="shared" si="5"/>
        <v>1260.38</v>
      </c>
      <c r="D71" s="23">
        <f t="shared" si="4"/>
        <v>15800</v>
      </c>
      <c r="E71" s="1">
        <v>0.4</v>
      </c>
      <c r="F71" s="1">
        <v>2</v>
      </c>
      <c r="G71" s="1">
        <v>1</v>
      </c>
    </row>
    <row r="72" ht="15.6" spans="1:7">
      <c r="A72" s="1">
        <v>71</v>
      </c>
      <c r="B72" s="22">
        <f t="shared" si="3"/>
        <v>2900</v>
      </c>
      <c r="C72" s="22">
        <f t="shared" si="5"/>
        <v>1271.4</v>
      </c>
      <c r="D72" s="23">
        <f t="shared" si="4"/>
        <v>16000</v>
      </c>
      <c r="E72" s="1">
        <v>0.4</v>
      </c>
      <c r="F72" s="1">
        <v>2</v>
      </c>
      <c r="G72" s="1">
        <v>1</v>
      </c>
    </row>
    <row r="73" ht="15.6" spans="1:7">
      <c r="A73" s="1">
        <v>72</v>
      </c>
      <c r="B73" s="22">
        <f t="shared" si="3"/>
        <v>2940</v>
      </c>
      <c r="C73" s="22">
        <f t="shared" si="5"/>
        <v>1282.42</v>
      </c>
      <c r="D73" s="23">
        <f t="shared" si="4"/>
        <v>16200</v>
      </c>
      <c r="E73" s="1">
        <v>0.4</v>
      </c>
      <c r="F73" s="1">
        <v>2</v>
      </c>
      <c r="G73" s="1">
        <v>1</v>
      </c>
    </row>
    <row r="74" ht="15.6" spans="1:7">
      <c r="A74" s="1">
        <v>73</v>
      </c>
      <c r="B74" s="22">
        <f t="shared" si="3"/>
        <v>2980</v>
      </c>
      <c r="C74" s="22">
        <f t="shared" si="5"/>
        <v>1293.44</v>
      </c>
      <c r="D74" s="23">
        <f t="shared" si="4"/>
        <v>16400</v>
      </c>
      <c r="E74" s="1">
        <v>0.4</v>
      </c>
      <c r="F74" s="1">
        <v>2</v>
      </c>
      <c r="G74" s="1">
        <v>1</v>
      </c>
    </row>
    <row r="75" ht="15.6" spans="1:7">
      <c r="A75" s="1">
        <v>74</v>
      </c>
      <c r="B75" s="22">
        <f t="shared" si="3"/>
        <v>3020</v>
      </c>
      <c r="C75" s="22">
        <f t="shared" si="5"/>
        <v>1304.46</v>
      </c>
      <c r="D75" s="23">
        <f t="shared" si="4"/>
        <v>16600</v>
      </c>
      <c r="E75" s="1">
        <v>0.4</v>
      </c>
      <c r="F75" s="1">
        <v>2</v>
      </c>
      <c r="G75" s="1">
        <v>1</v>
      </c>
    </row>
    <row r="76" ht="15.6" spans="1:7">
      <c r="A76" s="1">
        <v>75</v>
      </c>
      <c r="B76" s="22">
        <f t="shared" si="3"/>
        <v>3060</v>
      </c>
      <c r="C76" s="22">
        <f t="shared" si="5"/>
        <v>1315.48</v>
      </c>
      <c r="D76" s="23">
        <f t="shared" si="4"/>
        <v>16800</v>
      </c>
      <c r="E76" s="1">
        <v>0.4</v>
      </c>
      <c r="F76" s="1">
        <v>2</v>
      </c>
      <c r="G76" s="1">
        <v>1</v>
      </c>
    </row>
    <row r="77" ht="15.6" spans="1:7">
      <c r="A77" s="1">
        <v>76</v>
      </c>
      <c r="B77" s="22">
        <f t="shared" si="3"/>
        <v>3100</v>
      </c>
      <c r="C77" s="22">
        <f t="shared" si="5"/>
        <v>1326.5</v>
      </c>
      <c r="D77" s="23">
        <f t="shared" si="4"/>
        <v>17000</v>
      </c>
      <c r="E77" s="1">
        <v>0.4</v>
      </c>
      <c r="F77" s="1">
        <v>2</v>
      </c>
      <c r="G77" s="1">
        <v>1</v>
      </c>
    </row>
    <row r="78" ht="15.6" spans="1:7">
      <c r="A78" s="1">
        <v>77</v>
      </c>
      <c r="B78" s="22">
        <f t="shared" si="3"/>
        <v>3140</v>
      </c>
      <c r="C78" s="22">
        <f t="shared" si="5"/>
        <v>1337.52</v>
      </c>
      <c r="D78" s="23">
        <f t="shared" si="4"/>
        <v>17200</v>
      </c>
      <c r="E78" s="1">
        <v>0.4</v>
      </c>
      <c r="F78" s="1">
        <v>2</v>
      </c>
      <c r="G78" s="1">
        <v>1</v>
      </c>
    </row>
    <row r="79" ht="15.6" spans="1:7">
      <c r="A79" s="1">
        <v>78</v>
      </c>
      <c r="B79" s="22">
        <f t="shared" si="3"/>
        <v>3180</v>
      </c>
      <c r="C79" s="22">
        <f t="shared" si="5"/>
        <v>1348.54</v>
      </c>
      <c r="D79" s="23">
        <f t="shared" si="4"/>
        <v>17400</v>
      </c>
      <c r="E79" s="1">
        <v>0.4</v>
      </c>
      <c r="F79" s="1">
        <v>2</v>
      </c>
      <c r="G79" s="1">
        <v>1</v>
      </c>
    </row>
    <row r="80" ht="15.6" spans="1:7">
      <c r="A80" s="1">
        <v>79</v>
      </c>
      <c r="B80" s="22">
        <f t="shared" si="3"/>
        <v>3220</v>
      </c>
      <c r="C80" s="22">
        <f t="shared" si="5"/>
        <v>1359.56</v>
      </c>
      <c r="D80" s="23">
        <f t="shared" si="4"/>
        <v>17600</v>
      </c>
      <c r="E80" s="1">
        <v>0.4</v>
      </c>
      <c r="F80" s="1">
        <v>2</v>
      </c>
      <c r="G80" s="1">
        <v>1</v>
      </c>
    </row>
    <row r="81" ht="15.6" spans="1:7">
      <c r="A81" s="1">
        <v>80</v>
      </c>
      <c r="B81" s="22">
        <f t="shared" si="3"/>
        <v>3260</v>
      </c>
      <c r="C81" s="22">
        <f t="shared" si="5"/>
        <v>1370.58</v>
      </c>
      <c r="D81" s="23">
        <f t="shared" si="4"/>
        <v>17800</v>
      </c>
      <c r="E81" s="1">
        <v>0.4</v>
      </c>
      <c r="F81" s="1">
        <v>2</v>
      </c>
      <c r="G81" s="1">
        <v>1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H5"/>
  <sheetViews>
    <sheetView workbookViewId="0">
      <selection activeCell="A1" sqref="A1"/>
    </sheetView>
  </sheetViews>
  <sheetFormatPr defaultColWidth="14" defaultRowHeight="15.2" outlineLevelRow="4" outlineLevelCol="7"/>
  <sheetData>
    <row r="1" spans="1:8">
      <c r="A1" s="15" t="s">
        <v>266</v>
      </c>
      <c r="B1" s="1" t="s">
        <v>267</v>
      </c>
      <c r="C1" s="1" t="s">
        <v>268</v>
      </c>
      <c r="D1" s="1" t="s">
        <v>269</v>
      </c>
      <c r="E1" s="1" t="s">
        <v>270</v>
      </c>
      <c r="F1" s="16" t="s">
        <v>271</v>
      </c>
      <c r="G1" s="16" t="s">
        <v>272</v>
      </c>
      <c r="H1" s="17"/>
    </row>
    <row r="2" spans="1:8">
      <c r="A2" s="1" t="s">
        <v>273</v>
      </c>
      <c r="B2" s="18" t="s">
        <v>274</v>
      </c>
      <c r="C2" s="1" t="s">
        <v>274</v>
      </c>
      <c r="D2" s="1" t="s">
        <v>274</v>
      </c>
      <c r="E2" s="1">
        <f>VLOOKUP(B2,$F$1:$G$4,2)+VLOOKUP(C2,$F$1:$G$4,2)+VLOOKUP(D2,$F$1:$G$4,2)</f>
        <v>330</v>
      </c>
      <c r="F2" s="16" t="s">
        <v>275</v>
      </c>
      <c r="G2" s="16">
        <v>120</v>
      </c>
      <c r="H2" s="17"/>
    </row>
    <row r="3" spans="1:8">
      <c r="A3" s="1" t="s">
        <v>276</v>
      </c>
      <c r="B3" s="18" t="s">
        <v>277</v>
      </c>
      <c r="C3" s="1" t="s">
        <v>275</v>
      </c>
      <c r="D3" s="1" t="s">
        <v>274</v>
      </c>
      <c r="E3" s="1">
        <f>VLOOKUP(B3,$F$1:$G$4,2)+VLOOKUP(C3,$F$1:$G$4,2)+VLOOKUP(D3,$F$1:$G$4,2)</f>
        <v>330</v>
      </c>
      <c r="F3" s="16" t="s">
        <v>274</v>
      </c>
      <c r="G3" s="16">
        <v>110</v>
      </c>
      <c r="H3" s="17"/>
    </row>
    <row r="4" spans="1:8">
      <c r="A4" s="1" t="s">
        <v>278</v>
      </c>
      <c r="B4" s="18" t="s">
        <v>275</v>
      </c>
      <c r="C4" s="1" t="s">
        <v>277</v>
      </c>
      <c r="D4" s="1" t="s">
        <v>274</v>
      </c>
      <c r="E4" s="1">
        <f>VLOOKUP(B4,$F$1:$G$4,2)+VLOOKUP(C4,$F$1:$G$4,2)+VLOOKUP(D4,$F$1:$G$4,2)</f>
        <v>330</v>
      </c>
      <c r="F4" s="16" t="s">
        <v>277</v>
      </c>
      <c r="G4" s="16">
        <v>100</v>
      </c>
      <c r="H4" s="17"/>
    </row>
    <row r="5" spans="1:8">
      <c r="A5" s="17"/>
      <c r="B5" s="17"/>
      <c r="C5" s="17"/>
      <c r="D5" s="17"/>
      <c r="E5" s="17"/>
      <c r="F5" s="17"/>
      <c r="G5" s="17"/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T200"/>
  <sheetViews>
    <sheetView tabSelected="1" workbookViewId="0">
      <selection activeCell="H2" sqref="H2"/>
    </sheetView>
  </sheetViews>
  <sheetFormatPr defaultColWidth="14" defaultRowHeight="15.2"/>
  <cols>
    <col min="2" max="2" width="14" customWidth="1"/>
    <col min="9" max="11" width="14" customWidth="1"/>
    <col min="20" max="20" width="19" customWidth="1"/>
  </cols>
  <sheetData>
    <row r="1" ht="15.6" spans="1:20">
      <c r="A1" s="1" t="s">
        <v>15</v>
      </c>
      <c r="B1" s="2" t="s">
        <v>26</v>
      </c>
      <c r="C1" s="2" t="s">
        <v>27</v>
      </c>
      <c r="D1" s="2" t="s">
        <v>28</v>
      </c>
      <c r="E1" s="2" t="s">
        <v>29</v>
      </c>
      <c r="F1" s="2" t="s">
        <v>30</v>
      </c>
      <c r="G1" s="2" t="s">
        <v>279</v>
      </c>
      <c r="H1" s="2" t="s">
        <v>33</v>
      </c>
      <c r="I1" s="2" t="s">
        <v>280</v>
      </c>
      <c r="J1" s="3" t="s">
        <v>281</v>
      </c>
      <c r="K1" s="4" t="s">
        <v>282</v>
      </c>
      <c r="L1" s="5" t="s">
        <v>283</v>
      </c>
      <c r="M1" s="5" t="s">
        <v>284</v>
      </c>
      <c r="N1" s="6"/>
      <c r="P1" s="7" t="s">
        <v>285</v>
      </c>
      <c r="Q1" s="8" t="s">
        <v>58</v>
      </c>
      <c r="R1" s="8" t="s">
        <v>60</v>
      </c>
      <c r="S1" s="8" t="s">
        <v>33</v>
      </c>
      <c r="T1" s="9" t="s">
        <v>286</v>
      </c>
    </row>
    <row r="2" ht="15.6" spans="1:20">
      <c r="A2" s="1">
        <v>1</v>
      </c>
      <c r="B2" s="10">
        <f t="array" ref="B2:B81">_xlfn._xlws.FILTER(英雄数值!H:H,英雄数值!A:A=$M$2)</f>
        <v>4000</v>
      </c>
      <c r="C2" s="11">
        <f t="array" ref="C2:C81">_xlfn._xlws.FILTER(英雄数值!F:F,英雄数值!A:A=$L$2)</f>
        <v>180</v>
      </c>
      <c r="D2" s="1">
        <f t="array" ref="D2:F81">_xlfn._xlws.FILTER(英雄数值!I:K,英雄数值!A:A=$L$2)</f>
        <v>0.4</v>
      </c>
      <c r="E2" s="1">
        <v>2</v>
      </c>
      <c r="F2" s="12">
        <v>1</v>
      </c>
      <c r="G2" s="10">
        <f t="array" ref="G2:G81">_xlfn._xlws.FILTER(英雄数值!G:G,英雄数值!A:A=$M$2)</f>
        <v>665</v>
      </c>
      <c r="H2" s="2">
        <f t="shared" ref="H2:H65" si="0">2*C2*((1+D2*(E2-1)))*(1-(G2/(G2+A2*$K$2+$K$4)))</f>
        <v>277.540540540541</v>
      </c>
      <c r="I2" s="2">
        <f>IF(AND($L$4="SNIP",$M$4="TANK"),H2*1.2,IF(AND($L$4="DPS",$M$4="SNIP"),H2*1.2,IF(AND($L$4="TANK",$M$4="DPS"),H2*1.2,H2)))</f>
        <v>333.048648648649</v>
      </c>
      <c r="J2" s="3">
        <f t="shared" ref="J2:J65" si="1">B2/I2</f>
        <v>12.0102574090304</v>
      </c>
      <c r="K2" s="2">
        <v>15</v>
      </c>
      <c r="L2" s="1">
        <v>1</v>
      </c>
      <c r="M2" s="1">
        <v>2</v>
      </c>
      <c r="P2" s="8" t="s">
        <v>58</v>
      </c>
      <c r="Q2" s="8">
        <v>10</v>
      </c>
      <c r="R2" s="8">
        <v>15</v>
      </c>
      <c r="S2" s="13">
        <v>12</v>
      </c>
    </row>
    <row r="3" ht="15.6" spans="1:20">
      <c r="A3" s="1">
        <v>2</v>
      </c>
      <c r="B3" s="2">
        <v>4400</v>
      </c>
      <c r="C3" s="11">
        <v>252</v>
      </c>
      <c r="D3" s="1">
        <v>0.4</v>
      </c>
      <c r="E3" s="1">
        <v>2</v>
      </c>
      <c r="F3" s="12">
        <v>1</v>
      </c>
      <c r="G3" s="2">
        <v>679.6566</v>
      </c>
      <c r="H3" s="2">
        <f t="shared" si="0"/>
        <v>387.934580619195</v>
      </c>
      <c r="I3" s="2">
        <f t="shared" ref="I3:I66" si="2">IF(AND($L$4="SNIP",$M$4="TANK"),H3*1.2,IF(AND($L$4="DPS",$M$4="SNIP"),H3*1.2,H3))</f>
        <v>465.521496743034</v>
      </c>
      <c r="J3" s="3">
        <f t="shared" si="1"/>
        <v>9.45176545183</v>
      </c>
      <c r="K3" s="4" t="s">
        <v>287</v>
      </c>
      <c r="L3" s="1" t="str">
        <f>VLOOKUP(L2,英雄图鉴!A:N,2,TRUE)</f>
        <v>Isabella Frost</v>
      </c>
      <c r="M3" s="1" t="str">
        <f>VLOOKUP(M2,英雄图鉴!A:N,2,TRUE)</f>
        <v>Anvil</v>
      </c>
      <c r="P3" s="8" t="s">
        <v>60</v>
      </c>
      <c r="Q3" s="8">
        <v>16</v>
      </c>
      <c r="R3" s="8">
        <v>30</v>
      </c>
      <c r="S3" s="13">
        <v>20</v>
      </c>
    </row>
    <row r="4" ht="15.6" spans="1:20">
      <c r="A4" s="1">
        <v>3</v>
      </c>
      <c r="B4" s="10">
        <v>4800</v>
      </c>
      <c r="C4" s="11">
        <v>324</v>
      </c>
      <c r="D4" s="1">
        <v>0.4</v>
      </c>
      <c r="E4" s="1">
        <v>2</v>
      </c>
      <c r="F4" s="12">
        <v>1</v>
      </c>
      <c r="G4" s="10">
        <v>694.3132</v>
      </c>
      <c r="H4" s="2">
        <f t="shared" si="0"/>
        <v>498.003914992738</v>
      </c>
      <c r="I4" s="2">
        <f t="shared" si="2"/>
        <v>597.604697991286</v>
      </c>
      <c r="J4" s="3">
        <f t="shared" si="1"/>
        <v>8.03206537052691</v>
      </c>
      <c r="K4" s="1">
        <v>800</v>
      </c>
      <c r="L4" s="1" t="str">
        <f>VLOOKUP(L2,英雄图鉴!A1:D8,4)</f>
        <v>SNIP</v>
      </c>
      <c r="M4" s="1" t="str">
        <f>VLOOKUP(M2,英雄图鉴!A1:D8,4)</f>
        <v>TANK</v>
      </c>
      <c r="P4" s="8" t="s">
        <v>33</v>
      </c>
      <c r="Q4" s="13">
        <v>10</v>
      </c>
      <c r="R4" s="8">
        <v>20</v>
      </c>
      <c r="S4" s="8">
        <v>15</v>
      </c>
    </row>
    <row r="5" ht="15.6" spans="1:20">
      <c r="A5" s="1">
        <v>4</v>
      </c>
      <c r="B5" s="10">
        <v>5200</v>
      </c>
      <c r="C5" s="11">
        <v>396</v>
      </c>
      <c r="D5" s="1">
        <v>0.4</v>
      </c>
      <c r="E5" s="1">
        <v>2</v>
      </c>
      <c r="F5" s="12">
        <v>1</v>
      </c>
      <c r="G5" s="10">
        <v>708.9698</v>
      </c>
      <c r="H5" s="2">
        <f t="shared" si="0"/>
        <v>607.766956381187</v>
      </c>
      <c r="I5" s="2">
        <f t="shared" si="2"/>
        <v>729.320347657425</v>
      </c>
      <c r="J5" s="2">
        <f t="shared" si="1"/>
        <v>7.12992585042004</v>
      </c>
    </row>
    <row r="6" ht="15.6" spans="1:20">
      <c r="A6" s="1">
        <v>5</v>
      </c>
      <c r="B6" s="10">
        <v>5600</v>
      </c>
      <c r="C6" s="11">
        <v>468</v>
      </c>
      <c r="D6" s="1">
        <v>0.4</v>
      </c>
      <c r="E6" s="1">
        <v>2</v>
      </c>
      <c r="F6" s="12">
        <v>1</v>
      </c>
      <c r="G6" s="10">
        <v>723.6264</v>
      </c>
      <c r="H6" s="2">
        <f t="shared" si="0"/>
        <v>717.240751184892</v>
      </c>
      <c r="I6" s="2">
        <f t="shared" si="2"/>
        <v>860.68890142187</v>
      </c>
      <c r="J6" s="2">
        <f t="shared" si="1"/>
        <v>6.50641595441596</v>
      </c>
    </row>
    <row r="7" ht="15.6" spans="1:20">
      <c r="A7" s="1">
        <v>6</v>
      </c>
      <c r="B7" s="10">
        <v>6000</v>
      </c>
      <c r="C7" s="11">
        <v>540</v>
      </c>
      <c r="D7" s="1">
        <v>0.4</v>
      </c>
      <c r="E7" s="1">
        <v>2</v>
      </c>
      <c r="F7" s="12">
        <v>1</v>
      </c>
      <c r="G7" s="10">
        <v>738.283</v>
      </c>
      <c r="H7" s="2">
        <f t="shared" si="0"/>
        <v>826.441103911298</v>
      </c>
      <c r="I7" s="2">
        <f t="shared" si="2"/>
        <v>991.729324693557</v>
      </c>
      <c r="J7" s="2">
        <f t="shared" si="1"/>
        <v>6.05003789905475</v>
      </c>
    </row>
    <row r="8" ht="15.6" spans="1:20">
      <c r="A8" s="1">
        <v>7</v>
      </c>
      <c r="B8" s="2">
        <v>6400</v>
      </c>
      <c r="C8" s="11">
        <v>612</v>
      </c>
      <c r="D8" s="1">
        <v>0.4</v>
      </c>
      <c r="E8" s="1">
        <v>2</v>
      </c>
      <c r="F8" s="12">
        <v>1</v>
      </c>
      <c r="G8" s="2">
        <v>752.9396</v>
      </c>
      <c r="H8" s="2">
        <f t="shared" si="0"/>
        <v>935.382688247509</v>
      </c>
      <c r="I8" s="2">
        <f t="shared" si="2"/>
        <v>1122.45922589701</v>
      </c>
      <c r="J8" s="2">
        <f t="shared" si="1"/>
        <v>5.70176613309535</v>
      </c>
    </row>
    <row r="9" ht="15.6" spans="1:20">
      <c r="A9" s="1">
        <v>8</v>
      </c>
      <c r="B9" s="2">
        <v>6800</v>
      </c>
      <c r="C9" s="11">
        <v>684</v>
      </c>
      <c r="D9" s="1">
        <v>0.4</v>
      </c>
      <c r="E9" s="1">
        <v>2</v>
      </c>
      <c r="F9" s="12">
        <v>1</v>
      </c>
      <c r="G9" s="2">
        <v>767.5962</v>
      </c>
      <c r="H9" s="2">
        <f t="shared" si="0"/>
        <v>1044.0791464214</v>
      </c>
      <c r="I9" s="2">
        <f t="shared" si="2"/>
        <v>1252.89497570568</v>
      </c>
      <c r="J9" s="2">
        <f t="shared" si="1"/>
        <v>5.42743017719419</v>
      </c>
    </row>
    <row r="10" ht="15.6" spans="1:20">
      <c r="A10" s="1">
        <v>9</v>
      </c>
      <c r="B10" s="10">
        <v>7200</v>
      </c>
      <c r="C10" s="11">
        <v>756</v>
      </c>
      <c r="D10" s="1">
        <v>0.4</v>
      </c>
      <c r="E10" s="1">
        <v>2</v>
      </c>
      <c r="F10" s="12">
        <v>1</v>
      </c>
      <c r="G10" s="10">
        <v>782.2528</v>
      </c>
      <c r="H10" s="2">
        <f t="shared" si="0"/>
        <v>1152.54317826706</v>
      </c>
      <c r="I10" s="2">
        <f t="shared" si="2"/>
        <v>1383.05181392047</v>
      </c>
      <c r="J10" s="2">
        <f t="shared" si="1"/>
        <v>5.20587871512241</v>
      </c>
    </row>
    <row r="11" ht="15.6" spans="1:20">
      <c r="A11" s="1">
        <v>10</v>
      </c>
      <c r="B11" s="10">
        <v>7600</v>
      </c>
      <c r="C11" s="11">
        <v>828</v>
      </c>
      <c r="D11" s="1">
        <v>0.4</v>
      </c>
      <c r="E11" s="1">
        <v>2</v>
      </c>
      <c r="F11" s="12">
        <v>1</v>
      </c>
      <c r="G11" s="10">
        <v>796.9094</v>
      </c>
      <c r="H11" s="2">
        <f t="shared" si="0"/>
        <v>1260.78662121802</v>
      </c>
      <c r="I11" s="2">
        <f t="shared" si="2"/>
        <v>1512.94394546162</v>
      </c>
      <c r="J11" s="2">
        <f t="shared" si="1"/>
        <v>5.02331895560157</v>
      </c>
    </row>
    <row r="12" ht="15.6" spans="1:20">
      <c r="A12" s="1">
        <v>11</v>
      </c>
      <c r="B12" s="2">
        <v>8000</v>
      </c>
      <c r="C12" s="11">
        <v>900</v>
      </c>
      <c r="D12" s="1">
        <v>0.4</v>
      </c>
      <c r="E12" s="1">
        <v>2</v>
      </c>
      <c r="F12" s="12">
        <v>1</v>
      </c>
      <c r="G12" s="2">
        <v>811.566</v>
      </c>
      <c r="H12" s="2">
        <f t="shared" si="0"/>
        <v>1368.8205222885</v>
      </c>
      <c r="I12" s="2">
        <f t="shared" si="2"/>
        <v>1642.58462674621</v>
      </c>
      <c r="J12" s="2">
        <f t="shared" si="1"/>
        <v>4.87037311182389</v>
      </c>
    </row>
    <row r="13" ht="15.6" spans="1:20">
      <c r="A13" s="1">
        <v>12</v>
      </c>
      <c r="B13" s="2">
        <v>8400</v>
      </c>
      <c r="C13" s="11">
        <v>972</v>
      </c>
      <c r="D13" s="1">
        <v>0.4</v>
      </c>
      <c r="E13" s="1">
        <v>2</v>
      </c>
      <c r="F13" s="12">
        <v>1</v>
      </c>
      <c r="G13" s="2">
        <v>826.2226</v>
      </c>
      <c r="H13" s="2">
        <f t="shared" si="0"/>
        <v>1476.65520296336</v>
      </c>
      <c r="I13" s="2">
        <f t="shared" si="2"/>
        <v>1771.98624355603</v>
      </c>
      <c r="J13" s="2">
        <f t="shared" si="1"/>
        <v>4.74044312169312</v>
      </c>
    </row>
    <row r="14" ht="15.6" spans="1:20">
      <c r="A14" s="1">
        <v>13</v>
      </c>
      <c r="B14" s="1">
        <v>8800</v>
      </c>
      <c r="C14" s="11">
        <v>1044</v>
      </c>
      <c r="D14" s="1">
        <v>0.4</v>
      </c>
      <c r="E14" s="1">
        <v>2</v>
      </c>
      <c r="F14" s="12">
        <v>1</v>
      </c>
      <c r="G14" s="1">
        <v>840.8792</v>
      </c>
      <c r="H14" s="2">
        <f t="shared" si="0"/>
        <v>1584.30031779869</v>
      </c>
      <c r="I14" s="2">
        <f t="shared" si="2"/>
        <v>1901.16038135842</v>
      </c>
      <c r="J14" s="2">
        <f t="shared" si="1"/>
        <v>4.62875204337689</v>
      </c>
    </row>
    <row r="15" ht="15.6" spans="1:20">
      <c r="A15" s="1">
        <v>14</v>
      </c>
      <c r="B15" s="1">
        <v>9200</v>
      </c>
      <c r="C15" s="11">
        <v>1116</v>
      </c>
      <c r="D15" s="1">
        <v>0.4</v>
      </c>
      <c r="E15" s="1">
        <v>2</v>
      </c>
      <c r="F15" s="12">
        <v>1</v>
      </c>
      <c r="G15" s="1">
        <v>855.5358</v>
      </c>
      <c r="H15" s="2">
        <f t="shared" si="0"/>
        <v>1691.76490743303</v>
      </c>
      <c r="I15" s="2">
        <f t="shared" si="2"/>
        <v>2030.11788891963</v>
      </c>
      <c r="J15" s="2">
        <f t="shared" si="1"/>
        <v>4.5317565301077</v>
      </c>
    </row>
    <row r="16" ht="15.6" spans="1:20">
      <c r="A16" s="1">
        <v>15</v>
      </c>
      <c r="B16" s="1">
        <v>9600</v>
      </c>
      <c r="C16" s="11">
        <v>1188</v>
      </c>
      <c r="D16" s="1">
        <v>0.4</v>
      </c>
      <c r="E16" s="1">
        <v>2</v>
      </c>
      <c r="F16" s="12">
        <v>1</v>
      </c>
      <c r="G16" s="1">
        <v>870.1924</v>
      </c>
      <c r="H16" s="2">
        <f t="shared" si="0"/>
        <v>1799.05744662125</v>
      </c>
      <c r="I16" s="2">
        <f t="shared" si="2"/>
        <v>2158.8689359455</v>
      </c>
      <c r="J16" s="2">
        <f t="shared" si="1"/>
        <v>4.44677295604125</v>
      </c>
    </row>
    <row r="17" ht="15.6" spans="1:10">
      <c r="A17" s="1">
        <v>16</v>
      </c>
      <c r="B17" s="1">
        <v>10000</v>
      </c>
      <c r="C17" s="11">
        <v>1260</v>
      </c>
      <c r="D17" s="1">
        <v>0.4</v>
      </c>
      <c r="E17" s="1">
        <v>2</v>
      </c>
      <c r="F17" s="12">
        <v>1</v>
      </c>
      <c r="G17" s="1">
        <v>884.849</v>
      </c>
      <c r="H17" s="2">
        <f t="shared" si="0"/>
        <v>1906.18588782808</v>
      </c>
      <c r="I17" s="2">
        <f t="shared" si="2"/>
        <v>2287.4230653937</v>
      </c>
      <c r="J17" s="2">
        <f t="shared" si="1"/>
        <v>4.3717317322228</v>
      </c>
    </row>
    <row r="18" ht="15.6" spans="1:10">
      <c r="A18" s="1">
        <v>17</v>
      </c>
      <c r="B18" s="1">
        <v>10400</v>
      </c>
      <c r="C18" s="11">
        <v>1332</v>
      </c>
      <c r="D18" s="1">
        <v>0.4</v>
      </c>
      <c r="E18" s="1">
        <v>2</v>
      </c>
      <c r="F18" s="12">
        <v>1</v>
      </c>
      <c r="G18" s="1">
        <v>899.5056</v>
      </c>
      <c r="H18" s="2">
        <f t="shared" si="0"/>
        <v>2013.15770085284</v>
      </c>
      <c r="I18" s="2">
        <f t="shared" si="2"/>
        <v>2415.78924102341</v>
      </c>
      <c r="J18" s="2">
        <f t="shared" si="1"/>
        <v>4.30501130785491</v>
      </c>
    </row>
    <row r="19" ht="15.6" spans="1:10">
      <c r="A19" s="1">
        <v>18</v>
      </c>
      <c r="B19" s="1">
        <v>10800</v>
      </c>
      <c r="C19" s="11">
        <v>1404</v>
      </c>
      <c r="D19" s="1">
        <v>0.4</v>
      </c>
      <c r="E19" s="1">
        <v>2</v>
      </c>
      <c r="F19" s="12">
        <v>1</v>
      </c>
      <c r="G19" s="1">
        <v>914.1622</v>
      </c>
      <c r="H19" s="2">
        <f t="shared" si="0"/>
        <v>2119.97990890059</v>
      </c>
      <c r="I19" s="2">
        <f t="shared" si="2"/>
        <v>2543.97589068071</v>
      </c>
      <c r="J19" s="2">
        <f t="shared" si="1"/>
        <v>4.24532325151484</v>
      </c>
    </row>
    <row r="20" ht="15.6" spans="1:10">
      <c r="A20" s="1">
        <v>19</v>
      </c>
      <c r="B20" s="1">
        <v>11200</v>
      </c>
      <c r="C20" s="11">
        <v>1476</v>
      </c>
      <c r="D20" s="1">
        <v>0.4</v>
      </c>
      <c r="E20" s="1">
        <v>2</v>
      </c>
      <c r="F20" s="12">
        <v>1</v>
      </c>
      <c r="G20" s="1">
        <v>928.8188</v>
      </c>
      <c r="H20" s="2">
        <f t="shared" si="0"/>
        <v>2226.65912146614</v>
      </c>
      <c r="I20" s="2">
        <f t="shared" si="2"/>
        <v>2671.99094575937</v>
      </c>
      <c r="J20" s="2">
        <f t="shared" si="1"/>
        <v>4.19163097007314</v>
      </c>
    </row>
    <row r="21" ht="15.6" spans="1:10">
      <c r="A21" s="1">
        <v>20</v>
      </c>
      <c r="B21" s="1">
        <v>11600</v>
      </c>
      <c r="C21" s="11">
        <v>1548</v>
      </c>
      <c r="D21" s="1">
        <v>0.4</v>
      </c>
      <c r="E21" s="1">
        <v>2</v>
      </c>
      <c r="F21" s="12">
        <v>1</v>
      </c>
      <c r="G21" s="1">
        <v>943.4754</v>
      </c>
      <c r="H21" s="2">
        <f t="shared" si="0"/>
        <v>2333.20156435453</v>
      </c>
      <c r="I21" s="2">
        <f t="shared" si="2"/>
        <v>2799.84187722544</v>
      </c>
      <c r="J21" s="2">
        <f t="shared" si="1"/>
        <v>4.14309111323646</v>
      </c>
    </row>
    <row r="22" ht="15.6" spans="1:10">
      <c r="A22" s="1">
        <v>21</v>
      </c>
      <c r="B22" s="1">
        <v>12000</v>
      </c>
      <c r="C22" s="11">
        <v>1620</v>
      </c>
      <c r="D22" s="1">
        <v>0.4</v>
      </c>
      <c r="E22" s="1">
        <v>2</v>
      </c>
      <c r="F22" s="12">
        <v>1</v>
      </c>
      <c r="G22" s="1">
        <v>958.132</v>
      </c>
      <c r="H22" s="2">
        <f t="shared" si="0"/>
        <v>2439.61310712487</v>
      </c>
      <c r="I22" s="2">
        <f t="shared" si="2"/>
        <v>2927.53572854985</v>
      </c>
      <c r="J22" s="2">
        <f t="shared" si="1"/>
        <v>4.09901060573706</v>
      </c>
    </row>
    <row r="23" ht="15.6" spans="1:10">
      <c r="A23" s="1">
        <v>22</v>
      </c>
      <c r="B23" s="1">
        <v>12400</v>
      </c>
      <c r="C23" s="11">
        <v>1692</v>
      </c>
      <c r="D23" s="1">
        <v>0.4</v>
      </c>
      <c r="E23" s="1">
        <v>2</v>
      </c>
      <c r="F23" s="12">
        <v>1</v>
      </c>
      <c r="G23" s="1">
        <v>972.7886</v>
      </c>
      <c r="H23" s="2">
        <f t="shared" si="0"/>
        <v>2545.89928821185</v>
      </c>
      <c r="I23" s="2">
        <f t="shared" si="2"/>
        <v>3055.07914585422</v>
      </c>
      <c r="J23" s="2">
        <f t="shared" si="1"/>
        <v>4.05881465193036</v>
      </c>
    </row>
    <row r="24" ht="15.6" spans="1:10">
      <c r="A24" s="1">
        <v>23</v>
      </c>
      <c r="B24" s="1">
        <v>12800</v>
      </c>
      <c r="C24" s="11">
        <v>1764</v>
      </c>
      <c r="D24" s="1">
        <v>0.4</v>
      </c>
      <c r="E24" s="1">
        <v>2</v>
      </c>
      <c r="F24" s="12">
        <v>1</v>
      </c>
      <c r="G24" s="1">
        <v>987.4452</v>
      </c>
      <c r="H24" s="2">
        <f t="shared" si="0"/>
        <v>2652.06533795101</v>
      </c>
      <c r="I24" s="2">
        <f t="shared" si="2"/>
        <v>3182.47840554121</v>
      </c>
      <c r="J24" s="2">
        <f t="shared" si="1"/>
        <v>4.02202257765933</v>
      </c>
    </row>
    <row r="25" ht="15.6" spans="1:10">
      <c r="A25" s="1">
        <v>24</v>
      </c>
      <c r="B25" s="1">
        <v>13200</v>
      </c>
      <c r="C25" s="11">
        <v>1836</v>
      </c>
      <c r="D25" s="1">
        <v>0.4</v>
      </c>
      <c r="E25" s="1">
        <v>2</v>
      </c>
      <c r="F25" s="12">
        <v>1</v>
      </c>
      <c r="G25" s="1">
        <v>1002.1018</v>
      </c>
      <c r="H25" s="2">
        <f t="shared" si="0"/>
        <v>2758.11619970901</v>
      </c>
      <c r="I25" s="2">
        <f t="shared" si="2"/>
        <v>3309.73943965081</v>
      </c>
      <c r="J25" s="2">
        <f t="shared" si="1"/>
        <v>3.98822935783509</v>
      </c>
    </row>
    <row r="26" ht="15.6" spans="1:10">
      <c r="A26" s="1">
        <v>25</v>
      </c>
      <c r="B26" s="1">
        <v>13600</v>
      </c>
      <c r="C26" s="11">
        <v>1908</v>
      </c>
      <c r="D26" s="1">
        <v>0.4</v>
      </c>
      <c r="E26" s="1">
        <v>2</v>
      </c>
      <c r="F26" s="12">
        <v>1</v>
      </c>
      <c r="G26" s="1">
        <v>1016.7584</v>
      </c>
      <c r="H26" s="2">
        <f t="shared" si="0"/>
        <v>2864.0565492985</v>
      </c>
      <c r="I26" s="2">
        <f t="shared" si="2"/>
        <v>3436.8678591582</v>
      </c>
      <c r="J26" s="2">
        <f t="shared" si="1"/>
        <v>3.9570913277216</v>
      </c>
    </row>
    <row r="27" ht="15.6" spans="1:10">
      <c r="A27" s="1">
        <v>26</v>
      </c>
      <c r="B27" s="1">
        <v>14000</v>
      </c>
      <c r="C27" s="11">
        <v>1980</v>
      </c>
      <c r="D27" s="1">
        <v>0.4</v>
      </c>
      <c r="E27" s="1">
        <v>2</v>
      </c>
      <c r="F27" s="12">
        <v>1</v>
      </c>
      <c r="G27" s="1">
        <v>1031.415</v>
      </c>
      <c r="H27" s="2">
        <f t="shared" si="0"/>
        <v>2969.89081283776</v>
      </c>
      <c r="I27" s="2">
        <f t="shared" si="2"/>
        <v>3563.86897540532</v>
      </c>
      <c r="J27" s="2">
        <f t="shared" si="1"/>
        <v>3.92831501287384</v>
      </c>
    </row>
    <row r="28" ht="15.6" spans="1:10">
      <c r="A28" s="1">
        <v>27</v>
      </c>
      <c r="B28" s="1">
        <v>14400</v>
      </c>
      <c r="C28" s="11">
        <v>2052</v>
      </c>
      <c r="D28" s="1">
        <v>0.4</v>
      </c>
      <c r="E28" s="1">
        <v>2</v>
      </c>
      <c r="F28" s="12">
        <v>1</v>
      </c>
      <c r="G28" s="1">
        <v>1046.0716</v>
      </c>
      <c r="H28" s="2">
        <f t="shared" si="0"/>
        <v>3075.62318319862</v>
      </c>
      <c r="I28" s="2">
        <f t="shared" si="2"/>
        <v>3690.74781983834</v>
      </c>
      <c r="J28" s="2">
        <f t="shared" si="1"/>
        <v>3.9016483116505</v>
      </c>
    </row>
    <row r="29" ht="15.6" spans="1:10">
      <c r="A29" s="1">
        <v>28</v>
      </c>
      <c r="B29" s="1">
        <v>14800</v>
      </c>
      <c r="C29" s="11">
        <v>2124</v>
      </c>
      <c r="D29" s="1">
        <v>0.4</v>
      </c>
      <c r="E29" s="1">
        <v>2</v>
      </c>
      <c r="F29" s="12">
        <v>1</v>
      </c>
      <c r="G29" s="1">
        <v>1060.7282</v>
      </c>
      <c r="H29" s="2">
        <f t="shared" si="0"/>
        <v>3181.25763517108</v>
      </c>
      <c r="I29" s="2">
        <f t="shared" si="2"/>
        <v>3817.5091622053</v>
      </c>
      <c r="J29" s="2">
        <f t="shared" si="1"/>
        <v>3.87687347198149</v>
      </c>
    </row>
    <row r="30" ht="15.6" spans="1:10">
      <c r="A30" s="1">
        <v>29</v>
      </c>
      <c r="B30" s="1">
        <v>15200</v>
      </c>
      <c r="C30" s="11">
        <v>2196</v>
      </c>
      <c r="D30" s="1">
        <v>0.4</v>
      </c>
      <c r="E30" s="1">
        <v>2</v>
      </c>
      <c r="F30" s="12">
        <v>1</v>
      </c>
      <c r="G30" s="1">
        <v>1075.3848</v>
      </c>
      <c r="H30" s="2">
        <f t="shared" si="0"/>
        <v>3286.79793946013</v>
      </c>
      <c r="I30" s="2">
        <f t="shared" si="2"/>
        <v>3944.15752735215</v>
      </c>
      <c r="J30" s="2">
        <f t="shared" si="1"/>
        <v>3.85380145052276</v>
      </c>
    </row>
    <row r="31" ht="15.6" spans="1:10">
      <c r="A31" s="1">
        <v>30</v>
      </c>
      <c r="B31" s="1">
        <v>15600</v>
      </c>
      <c r="C31" s="11">
        <v>2268</v>
      </c>
      <c r="D31" s="1">
        <v>0.4</v>
      </c>
      <c r="E31" s="1">
        <v>2</v>
      </c>
      <c r="F31" s="12">
        <v>1</v>
      </c>
      <c r="G31" s="1">
        <v>1090.0414</v>
      </c>
      <c r="H31" s="2">
        <f t="shared" si="0"/>
        <v>3392.24767561805</v>
      </c>
      <c r="I31" s="2">
        <f t="shared" si="2"/>
        <v>4070.69721074166</v>
      </c>
      <c r="J31" s="2">
        <f t="shared" si="1"/>
        <v>3.83226734693878</v>
      </c>
    </row>
    <row r="32" ht="15.6" spans="1:10">
      <c r="A32" s="1">
        <v>31</v>
      </c>
      <c r="B32" s="1">
        <v>16000</v>
      </c>
      <c r="C32" s="11">
        <v>2340</v>
      </c>
      <c r="D32" s="1">
        <v>0.4</v>
      </c>
      <c r="E32" s="1">
        <v>2</v>
      </c>
      <c r="F32" s="12">
        <v>1</v>
      </c>
      <c r="G32" s="1">
        <v>1104.698</v>
      </c>
      <c r="H32" s="2">
        <f t="shared" si="0"/>
        <v>3497.61024400578</v>
      </c>
      <c r="I32" s="2">
        <f t="shared" si="2"/>
        <v>4197.13229280693</v>
      </c>
      <c r="J32" s="2">
        <f t="shared" si="1"/>
        <v>3.8121266816919</v>
      </c>
    </row>
    <row r="33" ht="15.6" spans="1:10">
      <c r="A33" s="1">
        <v>32</v>
      </c>
      <c r="B33" s="1">
        <v>16400</v>
      </c>
      <c r="C33" s="11">
        <v>2412</v>
      </c>
      <c r="D33" s="1">
        <v>0.4</v>
      </c>
      <c r="E33" s="1">
        <v>2</v>
      </c>
      <c r="F33" s="12">
        <v>1</v>
      </c>
      <c r="G33" s="1">
        <v>1119.3546</v>
      </c>
      <c r="H33" s="2">
        <f t="shared" si="0"/>
        <v>3602.88887686714</v>
      </c>
      <c r="I33" s="2">
        <f t="shared" si="2"/>
        <v>4323.46665224056</v>
      </c>
      <c r="J33" s="2">
        <f t="shared" si="1"/>
        <v>3.7932523410354</v>
      </c>
    </row>
    <row r="34" ht="15.6" spans="1:10">
      <c r="A34" s="1">
        <v>33</v>
      </c>
      <c r="B34" s="1">
        <v>16800</v>
      </c>
      <c r="C34" s="11">
        <v>2484</v>
      </c>
      <c r="D34" s="1">
        <v>0.4</v>
      </c>
      <c r="E34" s="1">
        <v>2</v>
      </c>
      <c r="F34" s="12">
        <v>1</v>
      </c>
      <c r="G34" s="1">
        <v>1134.0112</v>
      </c>
      <c r="H34" s="2">
        <f t="shared" si="0"/>
        <v>3708.08664859182</v>
      </c>
      <c r="I34" s="2">
        <f t="shared" si="2"/>
        <v>4449.70397831018</v>
      </c>
      <c r="J34" s="2">
        <f t="shared" si="1"/>
        <v>3.77553205379292</v>
      </c>
    </row>
    <row r="35" ht="15.6" spans="1:10">
      <c r="A35" s="1">
        <v>34</v>
      </c>
      <c r="B35" s="1">
        <v>17200</v>
      </c>
      <c r="C35" s="11">
        <v>2556</v>
      </c>
      <c r="D35" s="1">
        <v>0.4</v>
      </c>
      <c r="E35" s="1">
        <v>2</v>
      </c>
      <c r="F35" s="12">
        <v>1</v>
      </c>
      <c r="G35" s="1">
        <v>1148.6678</v>
      </c>
      <c r="H35" s="2">
        <f t="shared" si="0"/>
        <v>3813.20648523562</v>
      </c>
      <c r="I35" s="2">
        <f t="shared" si="2"/>
        <v>4575.84778228275</v>
      </c>
      <c r="J35" s="2">
        <f t="shared" si="1"/>
        <v>3.75886629502773</v>
      </c>
    </row>
    <row r="36" ht="15.6" spans="1:10">
      <c r="A36" s="1">
        <v>35</v>
      </c>
      <c r="B36" s="1">
        <v>17600</v>
      </c>
      <c r="C36" s="11">
        <v>2628</v>
      </c>
      <c r="D36" s="1">
        <v>0.4</v>
      </c>
      <c r="E36" s="1">
        <v>2</v>
      </c>
      <c r="F36" s="12">
        <v>1</v>
      </c>
      <c r="G36" s="1">
        <v>1163.3244</v>
      </c>
      <c r="H36" s="2">
        <f t="shared" si="0"/>
        <v>3918.25117335987</v>
      </c>
      <c r="I36" s="2">
        <f t="shared" si="2"/>
        <v>4701.90140803185</v>
      </c>
      <c r="J36" s="2">
        <f t="shared" si="1"/>
        <v>3.74316653469923</v>
      </c>
    </row>
    <row r="37" ht="15.6" spans="1:10">
      <c r="A37" s="1">
        <v>36</v>
      </c>
      <c r="B37" s="1">
        <v>18000</v>
      </c>
      <c r="C37" s="11">
        <v>2700</v>
      </c>
      <c r="D37" s="1">
        <v>0.4</v>
      </c>
      <c r="E37" s="1">
        <v>2</v>
      </c>
      <c r="F37" s="12">
        <v>1</v>
      </c>
      <c r="G37" s="1">
        <v>1177.981</v>
      </c>
      <c r="H37" s="2">
        <f t="shared" si="0"/>
        <v>4023.22336824622</v>
      </c>
      <c r="I37" s="2">
        <f t="shared" si="2"/>
        <v>4827.86804189547</v>
      </c>
      <c r="J37" s="2">
        <f t="shared" si="1"/>
        <v>3.72835376687989</v>
      </c>
    </row>
    <row r="38" ht="15.6" spans="1:10">
      <c r="A38" s="1">
        <v>37</v>
      </c>
      <c r="B38" s="1">
        <v>18400</v>
      </c>
      <c r="C38" s="11">
        <v>2772</v>
      </c>
      <c r="D38" s="1">
        <v>0.4</v>
      </c>
      <c r="E38" s="1">
        <v>2</v>
      </c>
      <c r="F38" s="12">
        <v>1</v>
      </c>
      <c r="G38" s="1">
        <v>1192.6376</v>
      </c>
      <c r="H38" s="2">
        <f t="shared" si="0"/>
        <v>4128.12560153767</v>
      </c>
      <c r="I38" s="2">
        <f t="shared" si="2"/>
        <v>4953.75072184521</v>
      </c>
      <c r="J38" s="2">
        <f t="shared" si="1"/>
        <v>3.71435726849538</v>
      </c>
    </row>
    <row r="39" ht="15.6" spans="1:10">
      <c r="A39" s="1">
        <v>38</v>
      </c>
      <c r="B39" s="1">
        <v>18800</v>
      </c>
      <c r="C39" s="11">
        <v>2844</v>
      </c>
      <c r="D39" s="1">
        <v>0.4</v>
      </c>
      <c r="E39" s="1">
        <v>2</v>
      </c>
      <c r="F39" s="12">
        <v>1</v>
      </c>
      <c r="G39" s="1">
        <v>1207.2942</v>
      </c>
      <c r="H39" s="2">
        <f t="shared" si="0"/>
        <v>4232.96028835202</v>
      </c>
      <c r="I39" s="2">
        <f t="shared" si="2"/>
        <v>5079.55234602243</v>
      </c>
      <c r="J39" s="2">
        <f t="shared" si="1"/>
        <v>3.7011135468899</v>
      </c>
    </row>
    <row r="40" ht="15.6" spans="1:10">
      <c r="A40" s="1">
        <v>39</v>
      </c>
      <c r="B40" s="1">
        <v>19200</v>
      </c>
      <c r="C40" s="11">
        <v>2916</v>
      </c>
      <c r="D40" s="1">
        <v>0.4</v>
      </c>
      <c r="E40" s="1">
        <v>2</v>
      </c>
      <c r="F40" s="12">
        <v>1</v>
      </c>
      <c r="G40" s="1">
        <v>1221.9508</v>
      </c>
      <c r="H40" s="2">
        <f t="shared" si="0"/>
        <v>4337.72973390982</v>
      </c>
      <c r="I40" s="2">
        <f t="shared" si="2"/>
        <v>5205.27568069179</v>
      </c>
      <c r="J40" s="2">
        <f t="shared" si="1"/>
        <v>3.68856544355943</v>
      </c>
    </row>
    <row r="41" ht="15.6" spans="1:10">
      <c r="A41" s="1">
        <v>40</v>
      </c>
      <c r="B41" s="1">
        <v>19600</v>
      </c>
      <c r="C41" s="11">
        <v>2988</v>
      </c>
      <c r="D41" s="1">
        <v>0.4</v>
      </c>
      <c r="E41" s="1">
        <v>2</v>
      </c>
      <c r="F41" s="12">
        <v>1</v>
      </c>
      <c r="G41" s="1">
        <v>1236.6074</v>
      </c>
      <c r="H41" s="2">
        <f t="shared" si="0"/>
        <v>4442.436139715</v>
      </c>
      <c r="I41" s="2">
        <f t="shared" si="2"/>
        <v>5330.923367658</v>
      </c>
      <c r="J41" s="2">
        <f t="shared" si="1"/>
        <v>3.676661367693</v>
      </c>
    </row>
    <row r="42" ht="15.6" spans="1:10">
      <c r="A42" s="1">
        <v>41</v>
      </c>
      <c r="B42" s="1">
        <v>20000</v>
      </c>
      <c r="C42" s="11">
        <v>3060</v>
      </c>
      <c r="D42" s="1">
        <v>0.4</v>
      </c>
      <c r="E42" s="1">
        <v>2</v>
      </c>
      <c r="F42" s="12">
        <v>1</v>
      </c>
      <c r="G42" s="1">
        <v>1251.264</v>
      </c>
      <c r="H42" s="2">
        <f t="shared" si="0"/>
        <v>4547.08160932301</v>
      </c>
      <c r="I42" s="2">
        <f t="shared" si="2"/>
        <v>5456.49793118761</v>
      </c>
      <c r="J42" s="2">
        <f t="shared" si="1"/>
        <v>3.66535463812537</v>
      </c>
    </row>
    <row r="43" ht="15.6" spans="1:10">
      <c r="A43" s="1">
        <v>42</v>
      </c>
      <c r="B43" s="1">
        <v>20400</v>
      </c>
      <c r="C43" s="11">
        <v>3132</v>
      </c>
      <c r="D43" s="1">
        <v>0.4</v>
      </c>
      <c r="E43" s="1">
        <v>2</v>
      </c>
      <c r="F43" s="12">
        <v>1</v>
      </c>
      <c r="G43" s="1">
        <v>1265.9206</v>
      </c>
      <c r="H43" s="2">
        <f t="shared" si="0"/>
        <v>4651.66815372827</v>
      </c>
      <c r="I43" s="2">
        <f t="shared" si="2"/>
        <v>5582.00178447392</v>
      </c>
      <c r="J43" s="2">
        <f t="shared" si="1"/>
        <v>3.65460291624085</v>
      </c>
    </row>
    <row r="44" ht="15.6" spans="1:10">
      <c r="A44" s="1">
        <v>43</v>
      </c>
      <c r="B44" s="1">
        <v>20800</v>
      </c>
      <c r="C44" s="11">
        <v>3204</v>
      </c>
      <c r="D44" s="1">
        <v>0.4</v>
      </c>
      <c r="E44" s="1">
        <v>2</v>
      </c>
      <c r="F44" s="12">
        <v>1</v>
      </c>
      <c r="G44" s="1">
        <v>1280.5772</v>
      </c>
      <c r="H44" s="2">
        <f t="shared" si="0"/>
        <v>4756.19769639987</v>
      </c>
      <c r="I44" s="2">
        <f t="shared" si="2"/>
        <v>5707.43723567984</v>
      </c>
      <c r="J44" s="2">
        <f t="shared" si="1"/>
        <v>3.64436771550803</v>
      </c>
    </row>
    <row r="45" ht="15.6" spans="1:10">
      <c r="A45" s="1">
        <v>44</v>
      </c>
      <c r="B45" s="1">
        <v>21200</v>
      </c>
      <c r="C45" s="11">
        <v>3276</v>
      </c>
      <c r="D45" s="1">
        <v>0.4</v>
      </c>
      <c r="E45" s="1">
        <v>2</v>
      </c>
      <c r="F45" s="12">
        <v>1</v>
      </c>
      <c r="G45" s="1">
        <v>1295.2338</v>
      </c>
      <c r="H45" s="2">
        <f t="shared" si="0"/>
        <v>4860.67207799207</v>
      </c>
      <c r="I45" s="2">
        <f t="shared" si="2"/>
        <v>5832.80649359049</v>
      </c>
      <c r="J45" s="2">
        <f t="shared" si="1"/>
        <v>3.63461397584441</v>
      </c>
    </row>
    <row r="46" ht="15.6" spans="1:10">
      <c r="A46" s="1">
        <v>45</v>
      </c>
      <c r="B46" s="1">
        <v>21600</v>
      </c>
      <c r="C46" s="11">
        <v>3348</v>
      </c>
      <c r="D46" s="1">
        <v>0.4</v>
      </c>
      <c r="E46" s="1">
        <v>2</v>
      </c>
      <c r="F46" s="12">
        <v>1</v>
      </c>
      <c r="G46" s="1">
        <v>1309.8904</v>
      </c>
      <c r="H46" s="2">
        <f t="shared" si="0"/>
        <v>4965.09306075384</v>
      </c>
      <c r="I46" s="2">
        <f t="shared" si="2"/>
        <v>5958.11167290461</v>
      </c>
      <c r="J46" s="2">
        <f t="shared" si="1"/>
        <v>3.62530969304069</v>
      </c>
    </row>
    <row r="47" ht="15.6" spans="1:10">
      <c r="A47" s="1">
        <v>46</v>
      </c>
      <c r="B47" s="1">
        <v>22000</v>
      </c>
      <c r="C47" s="11">
        <v>3420</v>
      </c>
      <c r="D47" s="1">
        <v>0.4</v>
      </c>
      <c r="E47" s="1">
        <v>2</v>
      </c>
      <c r="F47" s="12">
        <v>1</v>
      </c>
      <c r="G47" s="1">
        <v>1324.547</v>
      </c>
      <c r="H47" s="2">
        <f t="shared" si="0"/>
        <v>5069.46233265957</v>
      </c>
      <c r="I47" s="2">
        <f t="shared" si="2"/>
        <v>6083.35479919149</v>
      </c>
      <c r="J47" s="2">
        <f t="shared" si="1"/>
        <v>3.61642559512129</v>
      </c>
    </row>
    <row r="48" ht="15.6" spans="1:10">
      <c r="A48" s="1">
        <v>47</v>
      </c>
      <c r="B48" s="1">
        <v>22400</v>
      </c>
      <c r="C48" s="11">
        <v>3492</v>
      </c>
      <c r="D48" s="1">
        <v>0.4</v>
      </c>
      <c r="E48" s="1">
        <v>2</v>
      </c>
      <c r="F48" s="12">
        <v>1</v>
      </c>
      <c r="G48" s="1">
        <v>1339.2036</v>
      </c>
      <c r="H48" s="2">
        <f t="shared" si="0"/>
        <v>5173.7815112814</v>
      </c>
      <c r="I48" s="2">
        <f t="shared" si="2"/>
        <v>6208.53781353768</v>
      </c>
      <c r="J48" s="2">
        <f t="shared" si="1"/>
        <v>3.6079348588579</v>
      </c>
    </row>
    <row r="49" ht="15.6" spans="1:10">
      <c r="A49" s="1">
        <v>48</v>
      </c>
      <c r="B49" s="1">
        <v>22800</v>
      </c>
      <c r="C49" s="11">
        <v>3564</v>
      </c>
      <c r="D49" s="1">
        <v>0.4</v>
      </c>
      <c r="E49" s="1">
        <v>2</v>
      </c>
      <c r="F49" s="12">
        <v>1</v>
      </c>
      <c r="G49" s="1">
        <v>1353.8602</v>
      </c>
      <c r="H49" s="2">
        <f t="shared" si="0"/>
        <v>5278.05214742178</v>
      </c>
      <c r="I49" s="2">
        <f t="shared" si="2"/>
        <v>6333.66257690614</v>
      </c>
      <c r="J49" s="2">
        <f t="shared" si="1"/>
        <v>3.59981286075036</v>
      </c>
    </row>
    <row r="50" ht="15.6" spans="1:10">
      <c r="A50" s="1">
        <v>49</v>
      </c>
      <c r="B50" s="1">
        <v>23200</v>
      </c>
      <c r="C50" s="11">
        <v>3636</v>
      </c>
      <c r="D50" s="1">
        <v>0.4</v>
      </c>
      <c r="E50" s="1">
        <v>2</v>
      </c>
      <c r="F50" s="12">
        <v>1</v>
      </c>
      <c r="G50" s="1">
        <v>1368.5168</v>
      </c>
      <c r="H50" s="2">
        <f t="shared" si="0"/>
        <v>5382.27572852342</v>
      </c>
      <c r="I50" s="2">
        <f t="shared" si="2"/>
        <v>6458.73087422811</v>
      </c>
      <c r="J50" s="2">
        <f t="shared" si="1"/>
        <v>3.59203695768987</v>
      </c>
    </row>
    <row r="51" ht="15.6" spans="1:10">
      <c r="A51" s="1">
        <v>50</v>
      </c>
      <c r="B51" s="1">
        <v>23600</v>
      </c>
      <c r="C51" s="11">
        <v>3708</v>
      </c>
      <c r="D51" s="1">
        <v>0.4</v>
      </c>
      <c r="E51" s="1">
        <v>2</v>
      </c>
      <c r="F51" s="12">
        <v>1</v>
      </c>
      <c r="G51" s="1">
        <v>1383.1734</v>
      </c>
      <c r="H51" s="2">
        <f t="shared" si="0"/>
        <v>5486.45368187234</v>
      </c>
      <c r="I51" s="2">
        <f t="shared" si="2"/>
        <v>6583.7444182468</v>
      </c>
      <c r="J51" s="2">
        <f t="shared" si="1"/>
        <v>3.58458629326387</v>
      </c>
    </row>
    <row r="52" ht="15.6" spans="1:10">
      <c r="A52" s="1">
        <v>51</v>
      </c>
      <c r="B52" s="1">
        <v>24000</v>
      </c>
      <c r="C52" s="11">
        <v>3780</v>
      </c>
      <c r="D52" s="1">
        <v>0.4</v>
      </c>
      <c r="E52" s="1">
        <v>2</v>
      </c>
      <c r="F52" s="12">
        <v>1</v>
      </c>
      <c r="G52" s="1">
        <v>1397.83</v>
      </c>
      <c r="H52" s="2">
        <f t="shared" si="0"/>
        <v>5590.58737760857</v>
      </c>
      <c r="I52" s="2">
        <f t="shared" si="2"/>
        <v>6708.70485313028</v>
      </c>
      <c r="J52" s="2">
        <f t="shared" si="1"/>
        <v>3.57744162627777</v>
      </c>
    </row>
    <row r="53" ht="15.6" spans="1:10">
      <c r="A53" s="1">
        <v>52</v>
      </c>
      <c r="B53" s="1">
        <v>24400</v>
      </c>
      <c r="C53" s="11">
        <v>3852</v>
      </c>
      <c r="D53" s="1">
        <v>0.4</v>
      </c>
      <c r="E53" s="1">
        <v>2</v>
      </c>
      <c r="F53" s="12">
        <v>1</v>
      </c>
      <c r="G53" s="1">
        <v>1412.4866</v>
      </c>
      <c r="H53" s="2">
        <f t="shared" si="0"/>
        <v>5694.67813155788</v>
      </c>
      <c r="I53" s="2">
        <f t="shared" si="2"/>
        <v>6833.61375786946</v>
      </c>
      <c r="J53" s="2">
        <f t="shared" si="1"/>
        <v>3.5705851785816</v>
      </c>
    </row>
    <row r="54" ht="15.6" spans="1:10">
      <c r="A54" s="1">
        <v>53</v>
      </c>
      <c r="B54" s="1">
        <v>24800</v>
      </c>
      <c r="C54" s="11">
        <v>3924</v>
      </c>
      <c r="D54" s="1">
        <v>0.4</v>
      </c>
      <c r="E54" s="1">
        <v>2</v>
      </c>
      <c r="F54" s="12">
        <v>1</v>
      </c>
      <c r="G54" s="1">
        <v>1427.1432</v>
      </c>
      <c r="H54" s="2">
        <f t="shared" si="0"/>
        <v>5798.7272078967</v>
      </c>
      <c r="I54" s="2">
        <f t="shared" si="2"/>
        <v>6958.47264947604</v>
      </c>
      <c r="J54" s="2">
        <f t="shared" si="1"/>
        <v>3.56400049971705</v>
      </c>
    </row>
    <row r="55" ht="15.6" spans="1:10">
      <c r="A55" s="1">
        <v>54</v>
      </c>
      <c r="B55" s="1">
        <v>25200</v>
      </c>
      <c r="C55" s="11">
        <v>3996</v>
      </c>
      <c r="D55" s="1">
        <v>0.4</v>
      </c>
      <c r="E55" s="1">
        <v>2</v>
      </c>
      <c r="F55" s="12">
        <v>1</v>
      </c>
      <c r="G55" s="1">
        <v>1441.7998</v>
      </c>
      <c r="H55" s="2">
        <f t="shared" si="0"/>
        <v>5902.73582166169</v>
      </c>
      <c r="I55" s="2">
        <f t="shared" si="2"/>
        <v>7083.28298599403</v>
      </c>
      <c r="J55" s="2">
        <f t="shared" si="1"/>
        <v>3.5576723462593</v>
      </c>
    </row>
    <row r="56" ht="15.6" spans="1:10">
      <c r="A56" s="1">
        <v>55</v>
      </c>
      <c r="B56" s="1">
        <v>25600</v>
      </c>
      <c r="C56" s="11">
        <v>4068</v>
      </c>
      <c r="D56" s="1">
        <v>0.4</v>
      </c>
      <c r="E56" s="1">
        <v>2</v>
      </c>
      <c r="F56" s="12">
        <v>1</v>
      </c>
      <c r="G56" s="1">
        <v>1456.4564</v>
      </c>
      <c r="H56" s="2">
        <f t="shared" si="0"/>
        <v>6006.70514111444</v>
      </c>
      <c r="I56" s="2">
        <f t="shared" si="2"/>
        <v>7208.04616933733</v>
      </c>
      <c r="J56" s="2">
        <f t="shared" si="1"/>
        <v>3.55158657402905</v>
      </c>
    </row>
    <row r="57" ht="15.6" spans="1:10">
      <c r="A57" s="1">
        <v>56</v>
      </c>
      <c r="B57" s="1">
        <v>26000</v>
      </c>
      <c r="C57" s="11">
        <v>4140</v>
      </c>
      <c r="D57" s="1">
        <v>0.4</v>
      </c>
      <c r="E57" s="1">
        <v>2</v>
      </c>
      <c r="F57" s="12">
        <v>1</v>
      </c>
      <c r="G57" s="1">
        <v>1471.113</v>
      </c>
      <c r="H57" s="2">
        <f t="shared" si="0"/>
        <v>6110.63628997082</v>
      </c>
      <c r="I57" s="2">
        <f t="shared" si="2"/>
        <v>7332.76354796499</v>
      </c>
      <c r="J57" s="2">
        <f t="shared" si="1"/>
        <v>3.54573004160425</v>
      </c>
    </row>
    <row r="58" ht="15.6" spans="1:10">
      <c r="A58" s="1">
        <v>57</v>
      </c>
      <c r="B58" s="1">
        <v>26400</v>
      </c>
      <c r="C58" s="11">
        <v>4212</v>
      </c>
      <c r="D58" s="1">
        <v>0.4</v>
      </c>
      <c r="E58" s="1">
        <v>2</v>
      </c>
      <c r="F58" s="12">
        <v>1</v>
      </c>
      <c r="G58" s="1">
        <v>1485.7696</v>
      </c>
      <c r="H58" s="2">
        <f t="shared" si="0"/>
        <v>6214.53034950415</v>
      </c>
      <c r="I58" s="2">
        <f t="shared" si="2"/>
        <v>7457.43641940497</v>
      </c>
      <c r="J58" s="2">
        <f t="shared" si="1"/>
        <v>3.54009052377633</v>
      </c>
    </row>
    <row r="59" ht="15.6" spans="1:10">
      <c r="A59" s="1">
        <v>58</v>
      </c>
      <c r="B59" s="1">
        <v>26800</v>
      </c>
      <c r="C59" s="11">
        <v>4284</v>
      </c>
      <c r="D59" s="1">
        <v>0.4</v>
      </c>
      <c r="E59" s="1">
        <v>2</v>
      </c>
      <c r="F59" s="12">
        <v>1</v>
      </c>
      <c r="G59" s="1">
        <v>1500.4262</v>
      </c>
      <c r="H59" s="2">
        <f t="shared" si="0"/>
        <v>6318.3883605302</v>
      </c>
      <c r="I59" s="2">
        <f t="shared" si="2"/>
        <v>7582.06603263624</v>
      </c>
      <c r="J59" s="2">
        <f t="shared" si="1"/>
        <v>3.53465663377793</v>
      </c>
    </row>
    <row r="60" ht="15.6" spans="1:10">
      <c r="A60" s="1">
        <v>59</v>
      </c>
      <c r="B60" s="1">
        <v>27200</v>
      </c>
      <c r="C60" s="11">
        <v>4356</v>
      </c>
      <c r="D60" s="1">
        <v>0.4</v>
      </c>
      <c r="E60" s="1">
        <v>2</v>
      </c>
      <c r="F60" s="12">
        <v>1</v>
      </c>
      <c r="G60" s="1">
        <v>1515.0828</v>
      </c>
      <c r="H60" s="2">
        <f t="shared" si="0"/>
        <v>6422.21132528196</v>
      </c>
      <c r="I60" s="2">
        <f t="shared" si="2"/>
        <v>7706.65359033835</v>
      </c>
      <c r="J60" s="2">
        <f t="shared" si="1"/>
        <v>3.52941775326453</v>
      </c>
    </row>
    <row r="61" ht="15.6" spans="1:10">
      <c r="A61" s="1">
        <v>60</v>
      </c>
      <c r="B61" s="1">
        <v>27600</v>
      </c>
      <c r="C61" s="11">
        <v>4428</v>
      </c>
      <c r="D61" s="1">
        <v>0.4</v>
      </c>
      <c r="E61" s="1">
        <v>2</v>
      </c>
      <c r="F61" s="12">
        <v>1</v>
      </c>
      <c r="G61" s="1">
        <v>1529.7394</v>
      </c>
      <c r="H61" s="2">
        <f t="shared" si="0"/>
        <v>6526.00020918096</v>
      </c>
      <c r="I61" s="2">
        <f t="shared" si="2"/>
        <v>7831.20025101716</v>
      </c>
      <c r="J61" s="2">
        <f t="shared" si="1"/>
        <v>3.5243639691649</v>
      </c>
    </row>
    <row r="62" ht="15.6" spans="1:10">
      <c r="A62" s="1">
        <v>61</v>
      </c>
      <c r="B62" s="1">
        <v>28000</v>
      </c>
      <c r="C62" s="11">
        <v>4500</v>
      </c>
      <c r="D62" s="1">
        <v>0.4</v>
      </c>
      <c r="E62" s="1">
        <v>2</v>
      </c>
      <c r="F62" s="12">
        <v>1</v>
      </c>
      <c r="G62" s="1">
        <v>1544.396</v>
      </c>
      <c r="H62" s="2">
        <f t="shared" si="0"/>
        <v>6629.75594251205</v>
      </c>
      <c r="I62" s="2">
        <f t="shared" si="2"/>
        <v>7955.70713101446</v>
      </c>
      <c r="J62" s="2">
        <f t="shared" si="1"/>
        <v>3.51948601662887</v>
      </c>
    </row>
    <row r="63" ht="15.6" spans="1:10">
      <c r="A63" s="1">
        <v>62</v>
      </c>
      <c r="B63" s="1">
        <v>28400</v>
      </c>
      <c r="C63" s="11">
        <v>4572</v>
      </c>
      <c r="D63" s="1">
        <v>0.4</v>
      </c>
      <c r="E63" s="1">
        <v>2</v>
      </c>
      <c r="F63" s="12">
        <v>1</v>
      </c>
      <c r="G63" s="1">
        <v>1559.0526</v>
      </c>
      <c r="H63" s="2">
        <f t="shared" si="0"/>
        <v>6733.47942200742</v>
      </c>
      <c r="I63" s="2">
        <f t="shared" si="2"/>
        <v>8080.1753064089</v>
      </c>
      <c r="J63" s="2">
        <f t="shared" si="1"/>
        <v>3.51477522739812</v>
      </c>
    </row>
    <row r="64" ht="15.6" spans="1:10">
      <c r="A64" s="1">
        <v>63</v>
      </c>
      <c r="B64" s="1">
        <v>28800</v>
      </c>
      <c r="C64" s="11">
        <v>4644</v>
      </c>
      <c r="D64" s="1">
        <v>0.4</v>
      </c>
      <c r="E64" s="1">
        <v>2</v>
      </c>
      <c r="F64" s="12">
        <v>1</v>
      </c>
      <c r="G64" s="1">
        <v>1573.7092</v>
      </c>
      <c r="H64" s="2">
        <f t="shared" si="0"/>
        <v>6837.17151234582</v>
      </c>
      <c r="I64" s="2">
        <f t="shared" si="2"/>
        <v>8204.60581481499</v>
      </c>
      <c r="J64" s="2">
        <f t="shared" si="1"/>
        <v>3.51022348300952</v>
      </c>
    </row>
    <row r="65" ht="15.6" spans="1:10">
      <c r="A65" s="1">
        <v>64</v>
      </c>
      <c r="B65" s="1">
        <v>29200</v>
      </c>
      <c r="C65" s="11">
        <v>4716</v>
      </c>
      <c r="D65" s="1">
        <v>0.4</v>
      </c>
      <c r="E65" s="1">
        <v>2</v>
      </c>
      <c r="F65" s="12">
        <v>1</v>
      </c>
      <c r="G65" s="1">
        <v>1588.3658</v>
      </c>
      <c r="H65" s="2">
        <f t="shared" si="0"/>
        <v>6940.83304757204</v>
      </c>
      <c r="I65" s="2">
        <f t="shared" si="2"/>
        <v>8328.99965708645</v>
      </c>
      <c r="J65" s="2">
        <f t="shared" si="1"/>
        <v>3.50582317231292</v>
      </c>
    </row>
    <row r="66" ht="15.6" spans="1:10">
      <c r="A66" s="1">
        <v>65</v>
      </c>
      <c r="B66" s="1">
        <v>29600</v>
      </c>
      <c r="C66" s="11">
        <v>4788</v>
      </c>
      <c r="D66" s="1">
        <v>0.4</v>
      </c>
      <c r="E66" s="1">
        <v>2</v>
      </c>
      <c r="F66" s="12">
        <v>1</v>
      </c>
      <c r="G66" s="1">
        <v>1603.0224</v>
      </c>
      <c r="H66" s="2">
        <f t="shared" ref="H66:H81" si="3">2*C66*((1+D66*(E66-1)))*(1-(G66/(G66+A66*$K$2+$K$4)))</f>
        <v>7044.46483244161</v>
      </c>
      <c r="I66" s="2">
        <f t="shared" si="2"/>
        <v>8453.35779892993</v>
      </c>
      <c r="J66" s="2">
        <f t="shared" ref="J66:J81" si="4">B66/I66</f>
        <v>3.50156715284747</v>
      </c>
    </row>
    <row r="67" ht="15.6" spans="1:10">
      <c r="A67" s="1">
        <v>66</v>
      </c>
      <c r="B67" s="1">
        <v>30000</v>
      </c>
      <c r="C67" s="11">
        <v>4860</v>
      </c>
      <c r="D67" s="1">
        <v>0.4</v>
      </c>
      <c r="E67" s="1">
        <v>2</v>
      </c>
      <c r="F67" s="12">
        <v>1</v>
      </c>
      <c r="G67" s="1">
        <v>1617.679</v>
      </c>
      <c r="H67" s="2">
        <f t="shared" si="3"/>
        <v>7148.06764369531</v>
      </c>
      <c r="I67" s="2">
        <f t="shared" ref="I67:I81" si="5">IF(AND($L$4="SNIP",$M$4="TANK"),H67*1.2,IF(AND($L$4="DPS",$M$4="SNIP"),H67*1.2,H67))</f>
        <v>8577.68117243438</v>
      </c>
      <c r="J67" s="2">
        <f t="shared" si="4"/>
        <v>3.49744871567497</v>
      </c>
    </row>
    <row r="68" ht="15.6" spans="1:10">
      <c r="A68" s="1">
        <v>67</v>
      </c>
      <c r="B68" s="1">
        <v>30400</v>
      </c>
      <c r="C68" s="11">
        <v>4932</v>
      </c>
      <c r="D68" s="1">
        <v>0.4</v>
      </c>
      <c r="E68" s="1">
        <v>2</v>
      </c>
      <c r="F68" s="12">
        <v>1</v>
      </c>
      <c r="G68" s="1">
        <v>1632.3356</v>
      </c>
      <c r="H68" s="2">
        <f t="shared" si="3"/>
        <v>7251.64223126773</v>
      </c>
      <c r="I68" s="2">
        <f t="shared" si="5"/>
        <v>8701.97067752127</v>
      </c>
      <c r="J68" s="2">
        <f t="shared" si="4"/>
        <v>3.49346155331557</v>
      </c>
    </row>
    <row r="69" ht="15.6" spans="1:10">
      <c r="A69" s="1">
        <v>68</v>
      </c>
      <c r="B69" s="1">
        <v>30800</v>
      </c>
      <c r="C69" s="11">
        <v>5004</v>
      </c>
      <c r="D69" s="1">
        <v>0.4</v>
      </c>
      <c r="E69" s="1">
        <v>2</v>
      </c>
      <c r="F69" s="12">
        <v>1</v>
      </c>
      <c r="G69" s="1">
        <v>1646.9922</v>
      </c>
      <c r="H69" s="2">
        <f t="shared" si="3"/>
        <v>7355.18931943372</v>
      </c>
      <c r="I69" s="2">
        <f t="shared" si="5"/>
        <v>8826.22718332046</v>
      </c>
      <c r="J69" s="2">
        <f t="shared" si="4"/>
        <v>3.48959973047203</v>
      </c>
    </row>
    <row r="70" ht="15.6" spans="1:10">
      <c r="A70" s="1">
        <v>69</v>
      </c>
      <c r="B70" s="1">
        <v>31200</v>
      </c>
      <c r="C70" s="11">
        <v>5076</v>
      </c>
      <c r="D70" s="1">
        <v>0.4</v>
      </c>
      <c r="E70" s="1">
        <v>2</v>
      </c>
      <c r="F70" s="12">
        <v>1</v>
      </c>
      <c r="G70" s="1">
        <v>1661.6488</v>
      </c>
      <c r="H70" s="2">
        <f t="shared" si="3"/>
        <v>7458.70960789657</v>
      </c>
      <c r="I70" s="2">
        <f t="shared" si="5"/>
        <v>8950.45152947588</v>
      </c>
      <c r="J70" s="2">
        <f t="shared" si="4"/>
        <v>3.4858576572647</v>
      </c>
    </row>
    <row r="71" ht="15.6" spans="1:10">
      <c r="A71" s="1">
        <v>70</v>
      </c>
      <c r="B71" s="1">
        <v>31600</v>
      </c>
      <c r="C71" s="11">
        <v>5148</v>
      </c>
      <c r="D71" s="1">
        <v>0.4</v>
      </c>
      <c r="E71" s="1">
        <v>2</v>
      </c>
      <c r="F71" s="12">
        <v>1</v>
      </c>
      <c r="G71" s="1">
        <v>1676.3054</v>
      </c>
      <c r="H71" s="2">
        <f t="shared" si="3"/>
        <v>7562.20377282126</v>
      </c>
      <c r="I71" s="2">
        <f t="shared" si="5"/>
        <v>9074.64452738552</v>
      </c>
      <c r="J71" s="2">
        <f t="shared" si="4"/>
        <v>3.48223006473007</v>
      </c>
    </row>
    <row r="72" ht="15.6" spans="1:10">
      <c r="A72" s="1">
        <v>71</v>
      </c>
      <c r="B72" s="1">
        <v>32000</v>
      </c>
      <c r="C72" s="11">
        <v>5220</v>
      </c>
      <c r="D72" s="1">
        <v>0.4</v>
      </c>
      <c r="E72" s="1">
        <v>2</v>
      </c>
      <c r="F72" s="12">
        <v>1</v>
      </c>
      <c r="G72" s="1">
        <v>1690.962</v>
      </c>
      <c r="H72" s="2">
        <f t="shared" si="3"/>
        <v>7665.67246781602</v>
      </c>
      <c r="I72" s="2">
        <f t="shared" si="5"/>
        <v>9198.80696137923</v>
      </c>
      <c r="J72" s="2">
        <f t="shared" si="4"/>
        <v>3.47871198236364</v>
      </c>
    </row>
    <row r="73" ht="15.6" spans="1:10">
      <c r="A73" s="1">
        <v>72</v>
      </c>
      <c r="B73" s="1">
        <v>32400</v>
      </c>
      <c r="C73" s="11">
        <v>5292</v>
      </c>
      <c r="D73" s="1">
        <v>0.4</v>
      </c>
      <c r="E73" s="1">
        <v>2</v>
      </c>
      <c r="F73" s="12">
        <v>1</v>
      </c>
      <c r="G73" s="1">
        <v>1705.6186</v>
      </c>
      <c r="H73" s="2">
        <f t="shared" si="3"/>
        <v>7769.11632486511</v>
      </c>
      <c r="I73" s="2">
        <f t="shared" si="5"/>
        <v>9322.93958983814</v>
      </c>
      <c r="J73" s="2">
        <f t="shared" si="4"/>
        <v>3.47529871751132</v>
      </c>
    </row>
    <row r="74" ht="15.6" spans="1:10">
      <c r="A74" s="1">
        <v>73</v>
      </c>
      <c r="B74" s="1">
        <v>32800</v>
      </c>
      <c r="C74" s="11">
        <v>5364</v>
      </c>
      <c r="D74" s="1">
        <v>0.4</v>
      </c>
      <c r="E74" s="1">
        <v>2</v>
      </c>
      <c r="F74" s="12">
        <v>1</v>
      </c>
      <c r="G74" s="1">
        <v>1720.2752</v>
      </c>
      <c r="H74" s="2">
        <f t="shared" si="3"/>
        <v>7872.5359552158</v>
      </c>
      <c r="I74" s="2">
        <f t="shared" si="5"/>
        <v>9447.04314625896</v>
      </c>
      <c r="J74" s="2">
        <f t="shared" si="4"/>
        <v>3.47198583643485</v>
      </c>
    </row>
    <row r="75" ht="15.6" spans="1:10">
      <c r="A75" s="1">
        <v>74</v>
      </c>
      <c r="B75" s="1">
        <v>33200</v>
      </c>
      <c r="C75" s="11">
        <v>5436</v>
      </c>
      <c r="D75" s="1">
        <v>0.4</v>
      </c>
      <c r="E75" s="1">
        <v>2</v>
      </c>
      <c r="F75" s="12">
        <v>1</v>
      </c>
      <c r="G75" s="1">
        <v>1734.9318</v>
      </c>
      <c r="H75" s="2">
        <f t="shared" si="3"/>
        <v>7975.93195022195</v>
      </c>
      <c r="I75" s="2">
        <f t="shared" si="5"/>
        <v>9571.11834026634</v>
      </c>
      <c r="J75" s="2">
        <f t="shared" si="4"/>
        <v>3.46876914689534</v>
      </c>
    </row>
    <row r="76" ht="15.6" spans="1:10">
      <c r="A76" s="1">
        <v>75</v>
      </c>
      <c r="B76" s="1">
        <v>33600</v>
      </c>
      <c r="C76" s="11">
        <v>5508</v>
      </c>
      <c r="D76" s="1">
        <v>0.4</v>
      </c>
      <c r="E76" s="1">
        <v>2</v>
      </c>
      <c r="F76" s="12">
        <v>1</v>
      </c>
      <c r="G76" s="1">
        <v>1749.5884</v>
      </c>
      <c r="H76" s="2">
        <f t="shared" si="3"/>
        <v>8079.3048821468</v>
      </c>
      <c r="I76" s="2">
        <f t="shared" si="5"/>
        <v>9695.16585857616</v>
      </c>
      <c r="J76" s="2">
        <f t="shared" si="4"/>
        <v>3.46564468211527</v>
      </c>
    </row>
    <row r="77" ht="15.6" spans="1:10">
      <c r="A77" s="1">
        <v>76</v>
      </c>
      <c r="B77" s="1">
        <v>34000</v>
      </c>
      <c r="C77" s="11">
        <v>5580</v>
      </c>
      <c r="D77" s="1">
        <v>0.4</v>
      </c>
      <c r="E77" s="1">
        <v>2</v>
      </c>
      <c r="F77" s="12">
        <v>1</v>
      </c>
      <c r="G77" s="1">
        <v>1764.245</v>
      </c>
      <c r="H77" s="2">
        <f t="shared" si="3"/>
        <v>8182.65530492718</v>
      </c>
      <c r="I77" s="2">
        <f t="shared" si="5"/>
        <v>9819.18636591262</v>
      </c>
      <c r="J77" s="2">
        <f t="shared" si="4"/>
        <v>3.4626086859937</v>
      </c>
    </row>
    <row r="78" ht="15.6" spans="1:10">
      <c r="A78" s="1">
        <v>77</v>
      </c>
      <c r="B78" s="1">
        <v>34400</v>
      </c>
      <c r="C78" s="11">
        <v>5652</v>
      </c>
      <c r="D78" s="1">
        <v>0.4</v>
      </c>
      <c r="E78" s="1">
        <v>2</v>
      </c>
      <c r="F78" s="12">
        <v>1</v>
      </c>
      <c r="G78" s="1">
        <v>1778.9016</v>
      </c>
      <c r="H78" s="2">
        <f t="shared" si="3"/>
        <v>8285.98375490131</v>
      </c>
      <c r="I78" s="2">
        <f t="shared" si="5"/>
        <v>9943.18050588157</v>
      </c>
      <c r="J78" s="2">
        <f t="shared" si="4"/>
        <v>3.45965759946244</v>
      </c>
    </row>
    <row r="79" ht="15.6" spans="1:10">
      <c r="A79" s="1">
        <v>78</v>
      </c>
      <c r="B79" s="1">
        <v>34800</v>
      </c>
      <c r="C79" s="11">
        <v>5724</v>
      </c>
      <c r="D79" s="1">
        <v>0.4</v>
      </c>
      <c r="E79" s="1">
        <v>2</v>
      </c>
      <c r="F79" s="12">
        <v>1</v>
      </c>
      <c r="G79" s="1">
        <v>1793.5582</v>
      </c>
      <c r="H79" s="2">
        <f t="shared" si="3"/>
        <v>8389.29075150213</v>
      </c>
      <c r="I79" s="2">
        <f t="shared" si="5"/>
        <v>10067.1489018026</v>
      </c>
      <c r="J79" s="2">
        <f t="shared" si="4"/>
        <v>3.45678804788205</v>
      </c>
    </row>
    <row r="80" ht="15.6" spans="1:10">
      <c r="A80" s="1">
        <v>79</v>
      </c>
      <c r="B80" s="1">
        <v>35200</v>
      </c>
      <c r="C80" s="11">
        <v>5796</v>
      </c>
      <c r="D80" s="1">
        <v>0.4</v>
      </c>
      <c r="E80" s="1">
        <v>2</v>
      </c>
      <c r="F80" s="12">
        <v>1</v>
      </c>
      <c r="G80" s="1">
        <v>1808.2148</v>
      </c>
      <c r="H80" s="2">
        <f t="shared" si="3"/>
        <v>8492.57679791822</v>
      </c>
      <c r="I80" s="2">
        <f t="shared" si="5"/>
        <v>10191.0921575019</v>
      </c>
      <c r="J80" s="2">
        <f t="shared" si="4"/>
        <v>3.45399682938679</v>
      </c>
    </row>
    <row r="81" ht="15.6" spans="1:10">
      <c r="A81" s="1">
        <v>80</v>
      </c>
      <c r="B81" s="1">
        <v>35600</v>
      </c>
      <c r="C81" s="11">
        <v>5868</v>
      </c>
      <c r="D81" s="1">
        <v>0.4</v>
      </c>
      <c r="E81" s="1">
        <v>2</v>
      </c>
      <c r="F81" s="12">
        <v>1</v>
      </c>
      <c r="G81" s="1">
        <v>1822.8714</v>
      </c>
      <c r="H81" s="2">
        <f t="shared" si="3"/>
        <v>8595.84238172385</v>
      </c>
      <c r="I81" s="2">
        <f t="shared" si="5"/>
        <v>10315.0108580686</v>
      </c>
      <c r="J81" s="2">
        <f t="shared" si="4"/>
        <v>3.45128090409647</v>
      </c>
    </row>
    <row r="82" spans="1:10">
      <c r="D82" s="14"/>
      <c r="E82" s="14"/>
      <c r="F82" s="14"/>
    </row>
    <row r="83" spans="1:10">
      <c r="D83" s="14"/>
      <c r="E83" s="14"/>
      <c r="F83" s="14"/>
    </row>
    <row r="84" spans="1:10">
      <c r="D84" s="14"/>
      <c r="E84" s="14"/>
      <c r="F84" s="14"/>
    </row>
    <row r="85" spans="1:10">
      <c r="D85" s="14"/>
      <c r="E85" s="14"/>
      <c r="F85" s="14"/>
    </row>
    <row r="86" spans="1:10">
      <c r="D86" s="14"/>
      <c r="E86" s="14"/>
      <c r="F86" s="14"/>
    </row>
    <row r="87" spans="1:10">
      <c r="D87" s="14"/>
      <c r="E87" s="14"/>
      <c r="F87" s="14"/>
    </row>
    <row r="88" spans="1:10">
      <c r="D88" s="14"/>
      <c r="E88" s="14"/>
      <c r="F88" s="14"/>
    </row>
    <row r="89" spans="1:10">
      <c r="D89" s="14"/>
      <c r="E89" s="14"/>
      <c r="F89" s="14"/>
    </row>
    <row r="90" spans="1:10">
      <c r="D90" s="14"/>
      <c r="E90" s="14"/>
      <c r="F90" s="14"/>
    </row>
    <row r="91" spans="1:10">
      <c r="D91" s="14"/>
      <c r="E91" s="14"/>
      <c r="F91" s="14"/>
    </row>
    <row r="92" spans="1:10">
      <c r="D92" s="14"/>
      <c r="E92" s="14"/>
      <c r="F92" s="14"/>
    </row>
    <row r="93" spans="1:10">
      <c r="D93" s="14"/>
      <c r="E93" s="14"/>
      <c r="F93" s="14"/>
    </row>
    <row r="94" spans="1:10">
      <c r="D94" s="14"/>
      <c r="E94" s="14"/>
      <c r="F94" s="14"/>
    </row>
    <row r="95" spans="1:10">
      <c r="D95" s="14"/>
      <c r="E95" s="14"/>
      <c r="F95" s="14"/>
    </row>
    <row r="96" spans="1:10">
      <c r="D96" s="14"/>
      <c r="E96" s="14"/>
      <c r="F96" s="14"/>
    </row>
    <row r="97" spans="4:6">
      <c r="D97" s="14"/>
      <c r="E97" s="14"/>
      <c r="F97" s="14"/>
    </row>
    <row r="98" spans="4:6">
      <c r="D98" s="14"/>
      <c r="E98" s="14"/>
      <c r="F98" s="14"/>
    </row>
    <row r="99" spans="4:6">
      <c r="D99" s="14"/>
      <c r="E99" s="14"/>
      <c r="F99" s="14"/>
    </row>
    <row r="100" spans="4:6">
      <c r="D100" s="14"/>
      <c r="E100" s="14"/>
      <c r="F100" s="14"/>
    </row>
    <row r="101" spans="4:6">
      <c r="D101" s="14"/>
      <c r="E101" s="14"/>
      <c r="F101" s="14"/>
    </row>
    <row r="102" spans="4:6">
      <c r="D102" s="14"/>
      <c r="E102" s="14"/>
      <c r="F102" s="14"/>
    </row>
    <row r="103" spans="4:6">
      <c r="D103" s="14"/>
      <c r="E103" s="14"/>
      <c r="F103" s="14"/>
    </row>
    <row r="104" spans="4:6">
      <c r="D104" s="14"/>
      <c r="E104" s="14"/>
      <c r="F104" s="14"/>
    </row>
    <row r="105" spans="4:6">
      <c r="D105" s="14"/>
      <c r="E105" s="14"/>
      <c r="F105" s="14"/>
    </row>
    <row r="106" spans="4:6">
      <c r="D106" s="14"/>
      <c r="E106" s="14"/>
      <c r="F106" s="14"/>
    </row>
    <row r="107" spans="4:6">
      <c r="D107" s="14"/>
      <c r="E107" s="14"/>
      <c r="F107" s="14"/>
    </row>
    <row r="108" spans="4:6">
      <c r="D108" s="14"/>
      <c r="E108" s="14"/>
      <c r="F108" s="14"/>
    </row>
    <row r="109" spans="4:6">
      <c r="D109" s="14"/>
      <c r="E109" s="14"/>
      <c r="F109" s="14"/>
    </row>
    <row r="110" spans="4:6">
      <c r="D110" s="14"/>
      <c r="E110" s="14"/>
      <c r="F110" s="14"/>
    </row>
    <row r="111" spans="4:6">
      <c r="D111" s="14"/>
      <c r="E111" s="14"/>
      <c r="F111" s="14"/>
    </row>
    <row r="112" spans="4:6">
      <c r="D112" s="14"/>
      <c r="E112" s="14"/>
      <c r="F112" s="14"/>
    </row>
    <row r="113" spans="4:6">
      <c r="D113" s="14"/>
      <c r="E113" s="14"/>
      <c r="F113" s="14"/>
    </row>
    <row r="114" spans="4:6">
      <c r="D114" s="14"/>
      <c r="E114" s="14"/>
      <c r="F114" s="14"/>
    </row>
    <row r="115" spans="4:6">
      <c r="D115" s="14"/>
      <c r="E115" s="14"/>
      <c r="F115" s="14"/>
    </row>
    <row r="116" spans="4:6">
      <c r="D116" s="14"/>
      <c r="E116" s="14"/>
      <c r="F116" s="14"/>
    </row>
    <row r="117" spans="4:6">
      <c r="D117" s="14"/>
      <c r="E117" s="14"/>
      <c r="F117" s="14"/>
    </row>
    <row r="118" spans="4:6">
      <c r="D118" s="14"/>
      <c r="E118" s="14"/>
      <c r="F118" s="14"/>
    </row>
    <row r="119" spans="4:6">
      <c r="D119" s="14"/>
      <c r="E119" s="14"/>
      <c r="F119" s="14"/>
    </row>
    <row r="120" spans="4:6">
      <c r="D120" s="14"/>
      <c r="E120" s="14"/>
      <c r="F120" s="14"/>
    </row>
    <row r="121" spans="4:6">
      <c r="D121" s="14"/>
      <c r="E121" s="14"/>
      <c r="F121" s="14"/>
    </row>
    <row r="122" spans="4:6">
      <c r="D122" s="14"/>
      <c r="E122" s="14"/>
      <c r="F122" s="14"/>
    </row>
    <row r="123" spans="4:6">
      <c r="D123" s="14"/>
      <c r="E123" s="14"/>
      <c r="F123" s="14"/>
    </row>
    <row r="124" spans="4:6">
      <c r="D124" s="14"/>
      <c r="E124" s="14"/>
      <c r="F124" s="14"/>
    </row>
    <row r="125" spans="4:6">
      <c r="D125" s="14"/>
      <c r="E125" s="14"/>
      <c r="F125" s="14"/>
    </row>
    <row r="126" spans="4:6">
      <c r="D126" s="14"/>
      <c r="E126" s="14"/>
      <c r="F126" s="14"/>
    </row>
    <row r="127" spans="4:6">
      <c r="D127" s="14"/>
      <c r="E127" s="14"/>
      <c r="F127" s="14"/>
    </row>
    <row r="128" spans="4:6">
      <c r="D128" s="14"/>
      <c r="E128" s="14"/>
      <c r="F128" s="14"/>
    </row>
    <row r="129" spans="4:6">
      <c r="D129" s="14"/>
      <c r="E129" s="14"/>
      <c r="F129" s="14"/>
    </row>
    <row r="130" spans="4:6">
      <c r="D130" s="14"/>
      <c r="E130" s="14"/>
      <c r="F130" s="14"/>
    </row>
    <row r="131" spans="4:6">
      <c r="D131" s="14"/>
      <c r="E131" s="14"/>
      <c r="F131" s="14"/>
    </row>
    <row r="132" spans="4:6">
      <c r="D132" s="14"/>
      <c r="E132" s="14"/>
      <c r="F132" s="14"/>
    </row>
    <row r="133" spans="4:6">
      <c r="D133" s="14"/>
      <c r="E133" s="14"/>
      <c r="F133" s="14"/>
    </row>
    <row r="134" spans="4:6">
      <c r="D134" s="14"/>
      <c r="E134" s="14"/>
      <c r="F134" s="14"/>
    </row>
    <row r="135" spans="4:6">
      <c r="D135" s="14"/>
      <c r="E135" s="14"/>
      <c r="F135" s="14"/>
    </row>
    <row r="136" spans="4:6">
      <c r="D136" s="14"/>
      <c r="E136" s="14"/>
      <c r="F136" s="14"/>
    </row>
    <row r="137" spans="4:6">
      <c r="D137" s="14"/>
      <c r="E137" s="14"/>
      <c r="F137" s="14"/>
    </row>
    <row r="138" spans="4:6">
      <c r="D138" s="14"/>
      <c r="E138" s="14"/>
      <c r="F138" s="14"/>
    </row>
    <row r="139" spans="4:6">
      <c r="D139" s="14"/>
      <c r="E139" s="14"/>
      <c r="F139" s="14"/>
    </row>
    <row r="140" spans="4:6">
      <c r="D140" s="14"/>
      <c r="E140" s="14"/>
      <c r="F140" s="14"/>
    </row>
    <row r="141" spans="4:6">
      <c r="D141" s="14"/>
      <c r="E141" s="14"/>
      <c r="F141" s="14"/>
    </row>
    <row r="142" spans="4:6">
      <c r="D142" s="14"/>
      <c r="E142" s="14"/>
      <c r="F142" s="14"/>
    </row>
    <row r="143" spans="4:6">
      <c r="D143" s="14"/>
      <c r="E143" s="14"/>
      <c r="F143" s="14"/>
    </row>
    <row r="144" spans="4:6">
      <c r="D144" s="14"/>
      <c r="E144" s="14"/>
      <c r="F144" s="14"/>
    </row>
    <row r="145" spans="4:6">
      <c r="D145" s="14"/>
      <c r="E145" s="14"/>
      <c r="F145" s="14"/>
    </row>
    <row r="146" spans="4:6">
      <c r="D146" s="14"/>
      <c r="E146" s="14"/>
      <c r="F146" s="14"/>
    </row>
    <row r="147" spans="4:6">
      <c r="D147" s="14"/>
      <c r="E147" s="14"/>
      <c r="F147" s="14"/>
    </row>
    <row r="148" spans="4:6">
      <c r="D148" s="14"/>
      <c r="E148" s="14"/>
      <c r="F148" s="14"/>
    </row>
    <row r="149" spans="4:6">
      <c r="D149" s="14"/>
      <c r="E149" s="14"/>
      <c r="F149" s="14"/>
    </row>
    <row r="150" spans="4:6">
      <c r="D150" s="14"/>
      <c r="E150" s="14"/>
      <c r="F150" s="14"/>
    </row>
    <row r="151" spans="4:6">
      <c r="D151" s="14"/>
      <c r="E151" s="14"/>
      <c r="F151" s="14"/>
    </row>
    <row r="152" spans="4:6">
      <c r="D152" s="14"/>
      <c r="E152" s="14"/>
      <c r="F152" s="14"/>
    </row>
    <row r="153" spans="4:6">
      <c r="D153" s="14"/>
      <c r="E153" s="14"/>
      <c r="F153" s="14"/>
    </row>
    <row r="154" spans="4:6">
      <c r="D154" s="14"/>
      <c r="E154" s="14"/>
      <c r="F154" s="14"/>
    </row>
    <row r="155" spans="4:6">
      <c r="D155" s="14"/>
      <c r="E155" s="14"/>
      <c r="F155" s="14"/>
    </row>
    <row r="156" spans="4:6">
      <c r="D156" s="14"/>
      <c r="E156" s="14"/>
      <c r="F156" s="14"/>
    </row>
    <row r="157" spans="4:6">
      <c r="D157" s="14"/>
      <c r="E157" s="14"/>
      <c r="F157" s="14"/>
    </row>
    <row r="158" spans="4:6">
      <c r="D158" s="14"/>
      <c r="E158" s="14"/>
      <c r="F158" s="14"/>
    </row>
    <row r="159" spans="4:6">
      <c r="D159" s="14"/>
      <c r="E159" s="14"/>
      <c r="F159" s="14"/>
    </row>
    <row r="160" spans="4:6">
      <c r="D160" s="14"/>
      <c r="E160" s="14"/>
      <c r="F160" s="14"/>
    </row>
    <row r="161" spans="4:6">
      <c r="D161" s="14"/>
      <c r="E161" s="14"/>
      <c r="F161" s="14"/>
    </row>
    <row r="162" spans="4:6">
      <c r="D162" s="14"/>
      <c r="E162" s="14"/>
      <c r="F162" s="14"/>
    </row>
    <row r="163" spans="4:6">
      <c r="D163" s="14"/>
      <c r="E163" s="14"/>
      <c r="F163" s="14"/>
    </row>
    <row r="164" spans="4:6">
      <c r="D164" s="14"/>
      <c r="E164" s="14"/>
      <c r="F164" s="14"/>
    </row>
    <row r="165" spans="4:6">
      <c r="D165" s="14"/>
      <c r="E165" s="14"/>
      <c r="F165" s="14"/>
    </row>
    <row r="166" spans="4:6">
      <c r="D166" s="14"/>
      <c r="E166" s="14"/>
      <c r="F166" s="14"/>
    </row>
    <row r="167" spans="4:6">
      <c r="D167" s="14"/>
      <c r="E167" s="14"/>
      <c r="F167" s="14"/>
    </row>
    <row r="168" spans="4:6">
      <c r="D168" s="14"/>
      <c r="E168" s="14"/>
      <c r="F168" s="14"/>
    </row>
    <row r="169" spans="4:6">
      <c r="D169" s="14"/>
      <c r="E169" s="14"/>
      <c r="F169" s="14"/>
    </row>
    <row r="170" spans="4:6">
      <c r="D170" s="14"/>
      <c r="E170" s="14"/>
      <c r="F170" s="14"/>
    </row>
    <row r="171" spans="4:6">
      <c r="D171" s="14"/>
      <c r="E171" s="14"/>
      <c r="F171" s="14"/>
    </row>
    <row r="172" spans="4:6">
      <c r="D172" s="14"/>
      <c r="E172" s="14"/>
      <c r="F172" s="14"/>
    </row>
    <row r="173" spans="4:6">
      <c r="D173" s="14"/>
      <c r="E173" s="14"/>
      <c r="F173" s="14"/>
    </row>
    <row r="174" spans="4:6">
      <c r="D174" s="14"/>
      <c r="E174" s="14"/>
      <c r="F174" s="14"/>
    </row>
    <row r="175" spans="4:6">
      <c r="D175" s="14"/>
      <c r="E175" s="14"/>
      <c r="F175" s="14"/>
    </row>
    <row r="176" spans="4:6">
      <c r="D176" s="14"/>
      <c r="E176" s="14"/>
      <c r="F176" s="14"/>
    </row>
    <row r="177" spans="4:6">
      <c r="D177" s="14"/>
      <c r="E177" s="14"/>
      <c r="F177" s="14"/>
    </row>
    <row r="178" spans="4:6">
      <c r="D178" s="14"/>
      <c r="E178" s="14"/>
      <c r="F178" s="14"/>
    </row>
    <row r="179" spans="4:6">
      <c r="D179" s="14"/>
      <c r="E179" s="14"/>
      <c r="F179" s="14"/>
    </row>
    <row r="180" spans="4:6">
      <c r="D180" s="14"/>
      <c r="E180" s="14"/>
      <c r="F180" s="14"/>
    </row>
    <row r="181" spans="4:6">
      <c r="D181" s="14"/>
      <c r="E181" s="14"/>
      <c r="F181" s="14"/>
    </row>
    <row r="182" spans="4:6">
      <c r="D182" s="14"/>
      <c r="E182" s="14"/>
      <c r="F182" s="14"/>
    </row>
    <row r="183" spans="4:6">
      <c r="D183" s="14"/>
      <c r="E183" s="14"/>
      <c r="F183" s="14"/>
    </row>
    <row r="184" spans="4:6">
      <c r="D184" s="14"/>
      <c r="E184" s="14"/>
      <c r="F184" s="14"/>
    </row>
    <row r="185" spans="4:6">
      <c r="D185" s="14"/>
      <c r="E185" s="14"/>
      <c r="F185" s="14"/>
    </row>
    <row r="186" spans="4:6">
      <c r="D186" s="14"/>
      <c r="E186" s="14"/>
      <c r="F186" s="14"/>
    </row>
    <row r="187" spans="4:6">
      <c r="D187" s="14"/>
      <c r="E187" s="14"/>
      <c r="F187" s="14"/>
    </row>
    <row r="188" spans="4:6">
      <c r="D188" s="14"/>
      <c r="E188" s="14"/>
      <c r="F188" s="14"/>
    </row>
    <row r="189" spans="4:6">
      <c r="D189" s="14"/>
      <c r="E189" s="14"/>
      <c r="F189" s="14"/>
    </row>
    <row r="190" spans="4:6">
      <c r="D190" s="14"/>
      <c r="E190" s="14"/>
      <c r="F190" s="14"/>
    </row>
    <row r="191" spans="4:6">
      <c r="D191" s="14"/>
      <c r="E191" s="14"/>
      <c r="F191" s="14"/>
    </row>
    <row r="192" spans="4:6">
      <c r="D192" s="14"/>
      <c r="E192" s="14"/>
      <c r="F192" s="14"/>
    </row>
    <row r="193" spans="4:6">
      <c r="D193" s="14"/>
      <c r="E193" s="14"/>
      <c r="F193" s="14"/>
    </row>
    <row r="194" spans="4:6">
      <c r="D194" s="14"/>
      <c r="E194" s="14"/>
      <c r="F194" s="14"/>
    </row>
    <row r="195" spans="4:6">
      <c r="D195" s="14"/>
      <c r="E195" s="14"/>
      <c r="F195" s="14"/>
    </row>
    <row r="196" spans="4:6">
      <c r="D196" s="14"/>
      <c r="E196" s="14"/>
      <c r="F196" s="14"/>
    </row>
    <row r="197" spans="4:6">
      <c r="D197" s="14"/>
      <c r="E197" s="14"/>
      <c r="F197" s="14"/>
    </row>
    <row r="198" spans="4:6">
      <c r="D198" s="14"/>
      <c r="E198" s="14"/>
      <c r="F198" s="14"/>
    </row>
    <row r="199" spans="4:6">
      <c r="D199" s="14"/>
      <c r="E199" s="14"/>
      <c r="F199" s="14"/>
    </row>
    <row r="200" spans="4:6">
      <c r="D200" s="14"/>
      <c r="E200" s="14"/>
      <c r="F200" s="14"/>
    </row>
  </sheetData>
  <dataValidations count="1">
    <dataValidation type="list" allowBlank="1" showErrorMessage="1" sqref="L2:M2">
      <formula1>英雄数值!$A:$A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星级要求</vt:lpstr>
      <vt:lpstr>英雄升级要求</vt:lpstr>
      <vt:lpstr>星级加成数值</vt:lpstr>
      <vt:lpstr>主角数值</vt:lpstr>
      <vt:lpstr>英雄数值</vt:lpstr>
      <vt:lpstr>英雄技能数值及描述</vt:lpstr>
      <vt:lpstr>英雄技能数值及描述（副本）</vt:lpstr>
      <vt:lpstr>英雄图鉴</vt:lpstr>
      <vt:lpstr>标准人</vt:lpstr>
      <vt:lpstr>职业测评</vt:lpstr>
      <vt:lpstr>伤害测试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diaoyuzhe</cp:lastModifiedBy>
  <dcterms:created xsi:type="dcterms:W3CDTF">2025-11-04T19:10:00Z</dcterms:created>
  <dcterms:modified xsi:type="dcterms:W3CDTF">2025-11-17T17:55:38Z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BF35BAE1E444DB56D68D08691887B685_42</vt:lpwstr>
  </property>
  <property fmtid="{D5CDD505-2E9C-101B-9397-08002B2CF9AE}" pid="3" name="KSOProductBuildVer">
    <vt:lpwstr>2052-12.1.23540.23540</vt:lpwstr>
  </property>
</Properties>
</file>